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tc={9b66a56e-fffd-4eb5-84d5-6d0a41e18c8f}</author>
    <author>tc={9fcf18bf-aa13-402f-8a32-4fd6062503e2}</author>
    <author>tc={b3940f97-a91a-4781-add5-9bbcbae5137f}</author>
    <author>tc={bc8aa272-b332-4289-9dee-e53f55a44d3b}</author>
    <author>tc={dbfd2c86-1d23-43cf-bd1f-f9d1690c7894}</author>
  </authors>
  <commentList>
    <comment authorId="0" xr:uid="{9b66a56e-fffd-4eb5-84d5-6d0a41e18c8f}" ref="B4">
      <text>
        <t xml:space="preserve">[Threaded comment]
 Your version of Excel allows you to read this threaded comment; however, any edits to it will get removed if the file is opened in a newer version of Excel. Learn more: https://go.microsoft.com/fwlink/?linkid=870924
Comment:
	Es una opción si quieren usar antena externa
</t>
      </text>
    </comment>
    <comment authorId="1" xr:uid="{9fcf18bf-aa13-402f-8a32-4fd6062503e2}" ref="G21">
      <text>
        <t xml:space="preserve">[Threaded comment]
 Your version of Excel allows you to read this threaded comment; however, any edits to it will get removed if the file is opened in a newer version of Excel. Learn more: https://go.microsoft.com/fwlink/?linkid=870924
Comment:
	50 Metros
</t>
      </text>
    </comment>
    <comment authorId="2" xr:uid="{b3940f97-a91a-4781-add5-9bbcbae5137f}" ref="I24">
      <text>
        <t xml:space="preserve">[Threaded comment]
 Your version of Excel allows you to read this threaded comment; however, any edits to it will get removed if the file is opened in a newer version of Excel. Learn more: https://go.microsoft.com/fwlink/?linkid=870924
Comment:
	Precio por kit
</t>
      </text>
    </comment>
    <comment authorId="3" xr:uid="{bc8aa272-b332-4289-9dee-e53f55a44d3b}" ref="G23">
      <text>
        <t xml:space="preserve">[Threaded comment]
 Your version of Excel allows you to read this threaded comment; however, any edits to it will get removed if the file is opened in a newer version of Excel. Learn more: https://go.microsoft.com/fwlink/?linkid=870924
Comment:
	5 Metros
</t>
      </text>
    </comment>
    <comment authorId="4" xr:uid="{dbfd2c86-1d23-43cf-bd1f-f9d1690c7894}" ref="G20">
      <text>
        <t xml:space="preserve">[Threaded comment]
 Your version of Excel allows you to read this threaded comment; however, any edits to it will get removed if the file is opened in a newer version of Excel. Learn more: https://go.microsoft.com/fwlink/?linkid=870924
Comment:
	20x 2p female housing
20x 2p male plug
20x 3p female housing
20x 3p male plug
20x 4p female housing
20x 4p male plug
10x 5p female housing
10x 5p male plug
10x 6p female housing
10x 6p male plug
300x Female crimp plugs
</t>
      </text>
    </comment>
  </commentList>
</comments>
</file>

<file path=xl/sharedStrings.xml><?xml version="1.0" encoding="utf-8"?>
<sst xmlns="http://schemas.openxmlformats.org/spreadsheetml/2006/main" count="190" uniqueCount="155">
  <si>
    <t>Item</t>
  </si>
  <si>
    <t>Categoría</t>
  </si>
  <si>
    <t>Nombre / Modelo</t>
  </si>
  <si>
    <t>Fabricante</t>
  </si>
  <si>
    <t>Código</t>
  </si>
  <si>
    <t>Link</t>
  </si>
  <si>
    <t>Cantidad</t>
  </si>
  <si>
    <t>Add</t>
  </si>
  <si>
    <t>Precio U (€)</t>
  </si>
  <si>
    <t>Precio Total (€)</t>
  </si>
  <si>
    <t>Notas</t>
  </si>
  <si>
    <t>Sensor IMU</t>
  </si>
  <si>
    <t>Adafruit ICM-20948 IMU</t>
  </si>
  <si>
    <t>Adafruit</t>
  </si>
  <si>
    <r>
      <rPr>
        <color rgb="FF1155CC"/>
        <u/>
      </rPr>
      <t>4554 Adafruit | Mouser Europa</t>
    </r>
  </si>
  <si>
    <t>Sensor IMU 9-DOF, fácil integración con ESP32, amplia documentación y librerías disponibles</t>
  </si>
  <si>
    <t>I2C</t>
  </si>
  <si>
    <t>TCA9548A I2C Multiplexer</t>
  </si>
  <si>
    <t>https://www.digikey.nl/nl/products/detail/adafruit-industries-llc/2717/5604376</t>
  </si>
  <si>
    <t>Permite conectar múltiples IMU por I2C sin conflicto de direcciones. Cada IMU se puede seleccionar por canal</t>
  </si>
  <si>
    <t>MCU</t>
  </si>
  <si>
    <t>ProS3 ESP32-S3 USB-C uFL</t>
  </si>
  <si>
    <t>Unexpected Maker</t>
  </si>
  <si>
    <t>Unexpected Maker ProS3 - ESP32-S3 Development Board - USB-C - uFL Antenna Connector - PS3-U-01</t>
  </si>
  <si>
    <t>Controlador pruebas. Potente, BLE robusto, soporte de librerías, ideal para integración de múltiples sensores con antena externa</t>
  </si>
  <si>
    <t>ProS3 ESP32-S3 USB-C</t>
  </si>
  <si>
    <t>Unexpected Maker ProS3 - ESP32-S3 Development Board - USB-C - PS3-01</t>
  </si>
  <si>
    <t>Controlador principal. Potente, BLE robusto, soporte de librerías, ideal para integración de múltiples sensores</t>
  </si>
  <si>
    <t>ESP32-DEVKITC-VIE</t>
  </si>
  <si>
    <t>Espressif</t>
  </si>
  <si>
    <t>https://www.digikey.nl/nl/products/detail/espressif-systems/ESP32-DEVKITC-VIE/12091811</t>
  </si>
  <si>
    <t>Para pruebas de compatibilidad. Más estable y con documentación más extensa</t>
  </si>
  <si>
    <t>Bio-sensor</t>
  </si>
  <si>
    <t>MAX30102 HR &amp; SpO2</t>
  </si>
  <si>
    <t>DFRobot</t>
  </si>
  <si>
    <t>https://www.tinytronics.nl/en/sensors/body/dfrobot-gravity-max30102-heart-rate-and-oximeter-sensor</t>
  </si>
  <si>
    <t>Sensor de pulso y SpO2. Integración directa con ESP32 mediante librerías disponibles</t>
  </si>
  <si>
    <t>SparkFun Wireless EMG Kit</t>
  </si>
  <si>
    <t>SparkFun</t>
  </si>
  <si>
    <t>KIT-27922</t>
  </si>
  <si>
    <t>KIT-27922 SparkFun Electronics | Ontwikkelborden, kits, programmeereenheden | DigiKey</t>
  </si>
  <si>
    <t>Versión inalámbrica para pruebas. Limitaciones: 1 sensor EMG por shield; transmisión vía BLE al ESP32 S3. Ideal para pruebas iniciales</t>
  </si>
  <si>
    <t>MicroSD</t>
  </si>
  <si>
    <t>Micro-SD SPI</t>
  </si>
  <si>
    <t>Joy-it</t>
  </si>
  <si>
    <t>COM-MSD</t>
  </si>
  <si>
    <r>
      <rPr>
        <color rgb="FF1155CC"/>
        <u/>
      </rPr>
      <t>Joy-it COM-MSD Uitbreidingsmodule 1 stuk(s) kopen ? Conrad Electronic</t>
    </r>
  </si>
  <si>
    <t>Joy-it COM-MSD Módulo de Expansión micro-SD interfaz SPI Pines: 6 (GND, VCC, MOSI, MISO, CLK, CS) para Esp32 Arduino Rasberry Pi Banana Pi 3,3 V</t>
  </si>
  <si>
    <t>Capacitor</t>
  </si>
  <si>
    <t>0.1 µF Film 495-2479-1-ND</t>
  </si>
  <si>
    <t>TDK EPCOS</t>
  </si>
  <si>
    <t>B32529C1104J289</t>
  </si>
  <si>
    <r>
      <rPr>
        <color rgb="FF1155CC"/>
        <u/>
      </rPr>
      <t>B32529C1104J289 EPCOS - TDK Electronics | Condensators | DigiKey</t>
    </r>
  </si>
  <si>
    <t>Desacoplo/bypass estándar</t>
  </si>
  <si>
    <t>0.15 µF Film 495-1151-ND</t>
  </si>
  <si>
    <t>B32529C1154J000</t>
  </si>
  <si>
    <r>
      <rPr>
        <color rgb="FF1155CC"/>
        <u/>
      </rPr>
      <t>B32529C1154J000 EPCOS - TDK Electronics | Condensators | DigiKey</t>
    </r>
  </si>
  <si>
    <t>Filtrado adicional</t>
  </si>
  <si>
    <t>0.22 µF Film 495-1140-ND</t>
  </si>
  <si>
    <t>B32529C1224J289</t>
  </si>
  <si>
    <t>B32529C1224J289 EPCOS - TDK Electronics | Condensators | DigiKey</t>
  </si>
  <si>
    <t>Filtrado de ruido</t>
  </si>
  <si>
    <t>0.33 µF Film 495-1158-ND</t>
  </si>
  <si>
    <t>B32529C1334J000</t>
  </si>
  <si>
    <r>
      <rPr>
        <color rgb="FF1155CC"/>
        <u/>
      </rPr>
      <t>B32529C1334J000 EPCOS - TDK Electronics | Condensators | DigiKey</t>
    </r>
  </si>
  <si>
    <t>Suavizado de alimentación</t>
  </si>
  <si>
    <t>Resistencia</t>
  </si>
  <si>
    <t>1 kΩ Metal Film OX102KE</t>
  </si>
  <si>
    <t>Ohmite</t>
  </si>
  <si>
    <t>OX102KE-ND</t>
  </si>
  <si>
    <r>
      <rPr>
        <color rgb="FF1155CC"/>
        <u/>
      </rPr>
      <t>OX102KE Ohmite | Weerstanden | DigiKey</t>
    </r>
  </si>
  <si>
    <t>LEDs / divisores</t>
  </si>
  <si>
    <t>4.7 kΩ Metal Film OX472KE</t>
  </si>
  <si>
    <t>OX472KE-ND</t>
  </si>
  <si>
    <r>
      <rPr>
        <color rgb="FF1155CC"/>
        <u/>
      </rPr>
      <t>OX472KE Ohmite | Weerstanden | DigiKey</t>
    </r>
  </si>
  <si>
    <t>Pull-ups I2C</t>
  </si>
  <si>
    <t>10 kΩ Metal Film OX103KE</t>
  </si>
  <si>
    <t>OX103KE-ND</t>
  </si>
  <si>
    <r>
      <rPr>
        <color rgb="FF1155CC"/>
        <u/>
      </rPr>
      <t>OX103KE Ohmite | Weerstanden | DigiKey</t>
    </r>
  </si>
  <si>
    <t>Entradas digitales</t>
  </si>
  <si>
    <t>Conector</t>
  </si>
  <si>
    <t>Molex Terminales (AWG20)</t>
  </si>
  <si>
    <t>Molex</t>
  </si>
  <si>
    <t>—</t>
  </si>
  <si>
    <t>Terminales macho y hembra Molex → alimentación 20 AWG</t>
  </si>
  <si>
    <t>Molex Carcasas (housing)</t>
  </si>
  <si>
    <t>Carcasas macho y hembra de 2, 4, 6 y 8 pines</t>
  </si>
  <si>
    <t>Micro-Fit 3.0</t>
  </si>
  <si>
    <t>Aliexpress</t>
  </si>
  <si>
    <r>
      <rPr>
        <color rgb="FF1155CC"/>
        <u/>
      </rPr>
      <t>10/30/50/200 sets 3.0 mm Micro-Fit 3.0 Connector Receptacle Housing 2 Pin 3 4 5 6 7 8 9 Circuit Plug House Terminal 43640 43645 - AliExpress 13</t>
    </r>
  </si>
  <si>
    <t>Micro-Fit 3.0 (2 pines) Male &amp; Female Receptacle Plug with Terminal Sockets</t>
  </si>
  <si>
    <t>JST XH</t>
  </si>
  <si>
    <t>JST</t>
  </si>
  <si>
    <r>
      <rPr>
        <color rgb="FF1155CC"/>
        <u/>
      </rPr>
      <t>JST-XH Compatible Crimp Connector and Housing Set - JST-XH-SET</t>
    </r>
  </si>
  <si>
    <t>JST Connector Kit, JST-XH Male and Female Connector Pin 2.54mm  → sensores (24 AWG) 460Pcs 2/3/4/5/6</t>
  </si>
  <si>
    <t>Cable</t>
  </si>
  <si>
    <t>Cable AWG20 1.8mm Tinned Copper Core</t>
  </si>
  <si>
    <t>Genérico</t>
  </si>
  <si>
    <r>
      <rPr>
        <color rgb="FF1155CC"/>
        <u/>
      </rPr>
      <t>Heat Resistant Soft Silicone Wire 5 Colors in A Box Kit 30/28/26/24/22/20/18AWG Stranded Cable Electrical Tinned Copper Wire</t>
    </r>
  </si>
  <si>
    <t>Cubierta de Silicona 1.8mm cobre estañado trenzado (stranded tinned copper) para alimentación principal y conexión a terminales Molex. IMPORTANTE: OFC / Pure Copper / Tinned Copper</t>
  </si>
  <si>
    <t>Cable AWG28 SH1.0mm Qwiic/STEMMA QT</t>
  </si>
  <si>
    <r>
      <rPr>
        <color rgb="FF1155CC"/>
        <u/>
      </rPr>
      <t>17257 SparkFun Electronics | Cable Assemblies | DigiKey</t>
    </r>
  </si>
  <si>
    <t>Variante SHR 04V 500 mm de longitud con 4 pines Cable para conector QWIIC/QT sensor IMU (ICM 20948)</t>
  </si>
  <si>
    <t>Cable AWG24 4 Core Shielded</t>
  </si>
  <si>
    <t>M5Stack</t>
  </si>
  <si>
    <t>A088-C</t>
  </si>
  <si>
    <r>
      <rPr>
        <color rgb="FF1155CC"/>
        <u/>
      </rPr>
      <t>A088-C M5Stack | Mouser Europe</t>
    </r>
  </si>
  <si>
    <t>Cable de 5 metros blindado de 4 nucleos con tierra para señales de sensores y conectores JST/XH y Molex Micro-Fit 3.0 trenzados para reducir ruido, multifilar es flexible y fácil de enrutar en el traje</t>
  </si>
  <si>
    <t>PCB</t>
  </si>
  <si>
    <t xml:space="preserve">PCB </t>
  </si>
  <si>
    <t>DWC-LSI</t>
  </si>
  <si>
    <t>Genérica</t>
  </si>
  <si>
    <t>https://a.aliexpress.com/_mtnnhet</t>
  </si>
  <si>
    <t>Usadas para prototipado temporal con estas specs: Grid: 0.1 Thickness: 1.6mm Hole diameter: about 1mm Material: FR 4 glass fiber. Vienen 5 de estos tamaños 2x8, 3x7, 6x4, 5x7, 7x9 y colores 5 rojo, 5 negro, 5 verde</t>
  </si>
  <si>
    <t>Herramienta</t>
  </si>
  <si>
    <t>Weller WE 1010 70W/230V</t>
  </si>
  <si>
    <t>Weller</t>
  </si>
  <si>
    <t>T0053298393</t>
  </si>
  <si>
    <r>
      <rPr>
        <color rgb="FF1155CC"/>
        <u/>
      </rPr>
      <t>Weller WE 1010 (T0053298699) Estación de soldadura digital de 1 canal, 70 Vatios/230 Voltios, rango de temperatura de 100 °C a 450 °C, azul : Weller: Amazon.es: Bricolaje y herramientas</t>
    </r>
  </si>
  <si>
    <t>Estacion de soldadura Weller</t>
  </si>
  <si>
    <t>WSW SCN M1</t>
  </si>
  <si>
    <t>T0051402799</t>
  </si>
  <si>
    <t>Weller WSW SCN M1 (T0051402899) Alambre De Soldadura Sin Plomo, Ø 0,3 Mm, Aleación Sn99.3Cu0.6Ni0.05, Contenido De Fundente 3.5%, 100g : Amazon.es: Bricolaje y herramientas</t>
  </si>
  <si>
    <t>Alambre para soldar Nucleo Flux sin Plomo (Welding Wire without Lead) Alloy Sn99.3Cu0.6Ni0.05, Flux Content 3.5%, Punto de fusión: aprox. 228–229 °C, Ø 0.3 mm, Ø 0.5 mm, Ø 1.0 mm, 100g</t>
  </si>
  <si>
    <t>KIT for WE 1010</t>
  </si>
  <si>
    <r>
      <rPr>
        <color rgb="FF1155CC"/>
        <u/>
      </rPr>
      <t>Weller T0053298393 Juego de 5 Puntas de Soldadura ET para la Estación de Soldadura WE1010 : Amazon.es: Bricolaje y herramientas</t>
    </r>
  </si>
  <si>
    <t>Juego de 5 Puntas de Soldadura: ETA 1,6mm ETB de 2,4 mm ETC de 3,18 mm ETP de 0,8 mm TETS de 0,4 mm para la Estación de Soldadura WE1010</t>
  </si>
  <si>
    <t>Helping Hands 4 Magnetic Flexible</t>
  </si>
  <si>
    <t>TLH-D10-4</t>
  </si>
  <si>
    <r>
      <rPr>
        <color rgb="FF1155CC"/>
        <u/>
      </rPr>
      <t>NEWACALOX Soldering Helping Hands 4 Magnetic Universal Flexible Arm Welding Assistant PCB Clamp Thir Hand Welding Repair Tools - AliExpress 1420</t>
    </r>
  </si>
  <si>
    <t>Juego de 4 brazos flexibles con pinzas de cocodrilo de 10cm de largo y caja de almacenamiento</t>
  </si>
  <si>
    <t>Crimpadora Engineer PA-09</t>
  </si>
  <si>
    <t>Engineer</t>
  </si>
  <si>
    <t>PA-09</t>
  </si>
  <si>
    <r>
      <rPr>
        <color rgb="FF1155CC"/>
        <u/>
      </rPr>
      <t>ENGINEER PA-24 Micro Connector Crimper, Special Crimper for 2.5mm pitch pins such as JST XH PH EH Molex Micro-Fit 3.0, etc. Perfect crimp of Dupont Servo connectors Integrated : Amazon.nl: DIY &amp; Tools</t>
    </r>
  </si>
  <si>
    <t>Herramienta profesional para crimpar terminales JST PH/SH/XH y Molex micro. Precisa y confiable; ideal para cables 20 AWG (Molex) y 24 AWG (JST)</t>
  </si>
  <si>
    <t>Multímetro digital</t>
  </si>
  <si>
    <t>AstroAI 10000</t>
  </si>
  <si>
    <t>MUS10KRD</t>
  </si>
  <si>
    <r>
      <rPr>
        <color rgb="FF1155CC"/>
        <u/>
      </rPr>
      <t>AstroAI 10000 count smart multimeter, voltmeter, multimeter, tester for AC/DC current, AC/DC voltage, temperature, resistance, frequency, capacity, continuity, test diodes : Amazon.nl: DIY &amp; Tools</t>
    </r>
  </si>
  <si>
    <t>Count smart multimeter, voltmeter, multimeter, tester for AC/DC current, AC/DC voltage, temperature, resistance, frequency, capacity, continuity, test diodes</t>
  </si>
  <si>
    <t>TPS3010 30V 10A</t>
  </si>
  <si>
    <t>Wanptek</t>
  </si>
  <si>
    <t>TPS3010</t>
  </si>
  <si>
    <r>
      <rPr>
        <color rgb="FF1155CC"/>
        <u/>
      </rPr>
      <t>Wanptek Laboratory Power Supply Adjustable 30V 5A 30V 10A 60V 5A 120V 3A with Output Short Circuit Alarm DC Power Supply - AliExpress 13</t>
    </r>
  </si>
  <si>
    <t>Fuente de laboratorio 30V 10A con USB 18W y Type-C 18W</t>
  </si>
  <si>
    <t>Chaqueta</t>
  </si>
  <si>
    <t>MD237 W</t>
  </si>
  <si>
    <t>Wosawe</t>
  </si>
  <si>
    <t>MD237-ME322</t>
  </si>
  <si>
    <r>
      <rPr>
        <color rgb="FF1155CC"/>
        <u/>
      </rPr>
      <t>WOSAWE Motorcycle Jacket Body Armor Protection Jackets Motorbike Clothing Moto Riding Back Protectors CE Certification Soft Pads - AliExpress</t>
    </r>
  </si>
  <si>
    <t>Chaqueta licrada con protecciones naranjas CE2, en mi caso en talla L</t>
  </si>
  <si>
    <t>Total Unidad</t>
  </si>
  <si>
    <t>Total Cantidad</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</si>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</sst>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
  </numFmts>
  <fonts count="7">
    <font>
      <sz val="10.0"/>
      <color rgb="FF000000"/>
      <name val="Arial"/>
      <scheme val="minor"/>
    </font>
    <font>
      <b/>
      <color theme="1"/>
      <name val="Arial"/>
      <scheme val="minor"/>
    </font>
    <font>
      <color theme="1"/>
      <name val="Arial"/>
      <scheme val="minor"/>
    </font>
    <font>
      <u/>
      <color rgb="FF0000FF"/>
    </font>
    <font>
      <u/>
      <color rgb="FF0000FF"/>
    </font>
    <font>
      <color rgb="FF0F1111"/>
      <name val="Arial"/>
    </font>
    <font>
      <sz val="11.0"/>
      <color rgb="FF151515"/>
      <name val="Arial"/>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6AA84F"/>
        <bgColor rgb="FF6AA84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164" xfId="0" applyAlignment="1" applyFont="1" applyNumberFormat="1">
      <alignment horizontal="righ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right" readingOrder="0"/>
    </xf>
    <xf borderId="0" fillId="0" fontId="3" numFmtId="0" xfId="0" applyAlignment="1" applyFont="1">
      <alignment readingOrder="0"/>
    </xf>
    <xf borderId="0" fillId="0" fontId="2" numFmtId="164" xfId="0" applyAlignment="1" applyFont="1" applyNumberFormat="1">
      <alignment horizontal="right" readingOrder="0"/>
    </xf>
    <xf borderId="0" fillId="2" fontId="2" numFmtId="0" xfId="0" applyAlignment="1" applyFill="1" applyFont="1">
      <alignment readingOrder="0"/>
    </xf>
    <xf borderId="0" fillId="2" fontId="2" numFmtId="0" xfId="0" applyAlignment="1" applyFont="1">
      <alignment horizontal="right" readingOrder="0"/>
    </xf>
    <xf borderId="0" fillId="0" fontId="4" numFmtId="0" xfId="0" applyAlignment="1" applyFont="1">
      <alignment readingOrder="0"/>
    </xf>
    <xf borderId="0" fillId="3" fontId="5" numFmtId="0" xfId="0" applyAlignment="1" applyFill="1" applyFont="1">
      <alignment readingOrder="0"/>
    </xf>
    <xf borderId="0" fillId="4" fontId="2" numFmtId="0" xfId="0" applyAlignment="1" applyFill="1" applyFont="1">
      <alignment readingOrder="0"/>
    </xf>
    <xf borderId="0" fillId="4" fontId="2" numFmtId="164" xfId="0" applyAlignment="1" applyFont="1" applyNumberFormat="1">
      <alignment horizontal="right" readingOrder="0"/>
    </xf>
    <xf borderId="0" fillId="3" fontId="5" numFmtId="0" xfId="0" applyAlignment="1" applyFont="1">
      <alignment readingOrder="0"/>
    </xf>
    <xf borderId="0" fillId="0" fontId="6" numFmtId="0" xfId="0" applyAlignment="1" applyFont="1">
      <alignment readingOrder="0"/>
    </xf>
    <xf borderId="0" fillId="0" fontId="6" numFmtId="0" xfId="0" applyAlignment="1" applyFont="1">
      <alignment horizontal="right" readingOrder="0"/>
    </xf>
    <xf borderId="0" fillId="0" fontId="2" numFmtId="0" xfId="0" applyAlignment="1" applyFont="1">
      <alignment horizontal="center"/>
    </xf>
    <xf borderId="0" fillId="0" fontId="2" numFmtId="164" xfId="0" applyFont="1" applyNumberFormat="1"/>
    <xf borderId="0" fillId="0" fontId="2" numFmtId="0" xfId="0" applyAlignment="1" applyFont="1">
      <alignment horizontal="right"/>
    </xf>
    <xf borderId="0" fillId="0" fontId="2" numFmtId="164"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zaya JL (Izaya JL)" id="{38d3f8a4-9c09-41a3-9ff6-94650df417d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1" dT="2026-01-27T20:09:02.00" personId="{38d3f8a4-9c09-41a3-9ff6-94650df417db}" id="{9fcf18bf-aa13-402f-8a32-4fd6062503e2}" done="0">
    <x18tc:text xml:space="preserve">50 Metros</x18tc:text>
  </x18tc:threadedComment>
  <x18tc:threadedComment ref="I24" dT="2026-01-27T20:08:33.00" personId="{38d3f8a4-9c09-41a3-9ff6-94650df417db}" id="{b3940f97-a91a-4781-add5-9bbcbae5137f}" done="0">
    <x18tc:text xml:space="preserve">Precio por kit</x18tc:text>
  </x18tc:threadedComment>
  <x18tc:threadedComment ref="G23" dT="2026-01-27T20:09:30.00" personId="{38d3f8a4-9c09-41a3-9ff6-94650df417db}" id="{bc8aa272-b332-4289-9dee-e53f55a44d3b}" done="0">
    <x18tc:text xml:space="preserve">5 Metros</x18tc:text>
  </x18tc:threadedComment>
  <x18tc:threadedComment ref="B4" dT="2026-02-28T16:20:37.00" personId="{38d3f8a4-9c09-41a3-9ff6-94650df417db}" id="{9b66a56e-fffd-4eb5-84d5-6d0a41e18c8f}" done="0">
    <x18tc:text xml:space="preserve">Es una opción si quieren usar antena externa</x18tc:text>
  </x18tc:threadedComment>
  <x18tc:threadedComment ref="G20" dT="2026-01-29T20:25:19.00" personId="{38d3f8a4-9c09-41a3-9ff6-94650df417db}" id="{dbfd2c86-1d23-43cf-bd1f-f9d1690c7894}" done="0">
    <x18tc:text xml:space="preserve">20x 2p female housing
20x 2p male plug
20x 3p female housing
20x 3p male plug
20x 4p female housing
20x 4p male plug
10x 5p female housing
10x 5p male plug
10x 6p female housing
10x 6p male plug
300x Female crimp plugs</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tinytronics.nl/en/cables-and-connectors/connectors/jst-compatible/jst-xh-crimp-connector-and-housing-set" TargetMode="External"/><Relationship Id="rId22" Type="http://schemas.openxmlformats.org/officeDocument/2006/relationships/hyperlink" Target="https://www.digikey.com/en/products/detail/sparkfun-electronics/17257/13629026" TargetMode="External"/><Relationship Id="rId21" Type="http://schemas.openxmlformats.org/officeDocument/2006/relationships/hyperlink" Target="https://nl.aliexpress.com/item/1005005888991575.html?invitationCode=RFJBRDBFM1ZiS1djZ1BpZUhFUEErUHhHcTFFdXRWTGpGZE5vZXhVcWFPaWVQemFTZUJrNWVWT0s1MU1hdTAyWg&amp;srcSns=sns_Copy&amp;spreadType=socialShare&amp;social_params=22036839109&amp;bizType=ProductDetail&amp;spreadCode=RFJBRDBFM1ZiS1djZ1BpZUhFUEErUHhHcTFFdXRWTGpGZE5vZXhVcWFPaWVQemFTZUJrNWVWT0s1MU1hdTAyWg&amp;aff_fcid=51bfd032b6b946539d256c615cc061e4-1769724595745-06282-_mqtSLAp&amp;tt=MG&amp;aff_fsk=_mqtSLAp&amp;aff_platform=default&amp;sk=_mqtSLAp&amp;aff_trace_key=51bfd032b6b946539d256c615cc061e4-1769724595745-06282-_mqtSLAp&amp;shareId=22036839109&amp;businessType=ProductDetail&amp;platform=AE&amp;terminal_id=cc4afd8f2d554935b6870bedb8309d0d&amp;afSmartRedirect=y" TargetMode="External"/><Relationship Id="rId24" Type="http://schemas.openxmlformats.org/officeDocument/2006/relationships/hyperlink" Target="https://a.aliexpress.com/_mtnnhet" TargetMode="External"/><Relationship Id="rId23" Type="http://schemas.openxmlformats.org/officeDocument/2006/relationships/hyperlink" Target="https://eu.mouser.com/ProductDetail/M5Stack/A088-C?qs=pUKx8fyJudBqQkeRSer91w%3D%3D&amp;_gl=1*1t3ldew*_ga*dW5kZWZpbmVk*_ga_15W4STQT4T*dW5kZWZpbmVk*_ga_1KQLCYKRX3*dW5kZWZpbmV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eu.mouser.com/ProductDetail/Adafruit/4554?qs=DPoM0jnrROVsh%2FR5VsCmTg%3D%3D" TargetMode="External"/><Relationship Id="rId9" Type="http://schemas.openxmlformats.org/officeDocument/2006/relationships/hyperlink" Target="https://www.tinytronics.nl/en/sensors/body/dfrobot-gravity-max30102-heart-rate-and-oximeter-sensor" TargetMode="External"/><Relationship Id="rId26" Type="http://schemas.openxmlformats.org/officeDocument/2006/relationships/hyperlink" Target="https://www.amazon.es/Weller-T0051402899-Soldadura-Sn99-3Cu0-6Ni0-05-Contenido/dp/B09HHL6ZHL?ref_=ast_sto_dp&amp;th=1" TargetMode="External"/><Relationship Id="rId25" Type="http://schemas.openxmlformats.org/officeDocument/2006/relationships/hyperlink" Target="https://www.amazon.es/Weller-Professional-t0053298699-Weller-t0053298399-temperatura/dp/B0F7Y2Y6L8/ref=pd_sim_d_sccl_3_1/522-1964842-9886466?pd_rd_w=t4DX9&amp;content-id=amzn1.sym.660d06a2-616c-4c29-8c5e-6eaf86d13ba0&amp;pf_rd_p=660d06a2-616c-4c29-8c5e-6eaf86d13ba0&amp;pf_rd_r=4E8B5S0QNKDG3K8NB54E&amp;pd_rd_wg=4L9qg&amp;pd_rd_r=6967f615-6753-4489-aa9a-4ed3ef8d0917&amp;pd_rd_i=B079ZN87FT&amp;th=1" TargetMode="External"/><Relationship Id="rId28" Type="http://schemas.openxmlformats.org/officeDocument/2006/relationships/hyperlink" Target="https://nl.aliexpress.com/item/1005009212103647.html?invitationCode=cXd3NitmWkk2N3JYa1hFVWtBL1haUHhHcTFFdXRWTGpGZE5vZXhVcWFPaWVQemFTZUJrNWVWT0s1MU1hdTAyWg&amp;srcSns=sns_Copy&amp;spreadType=socialShare&amp;social_params=22026319589&amp;bizType=ProductDetail&amp;spreadCode=cXd3NitmWkk2N3JYa1hFVWtBL1haUHhHcTFFdXRWTGpGZE5vZXhVcWFPaWVQemFTZUJrNWVWT0s1MU1hdTAyWg&amp;aff_fcid=0b60ff7bb5a84efcb393ba9e8ee1097e-1769767288074-01689-_m0cgmnJ&amp;tt=MG&amp;aff_fsk=_m0cgmnJ&amp;aff_platform=default&amp;sk=_m0cgmnJ&amp;aff_trace_key=0b60ff7bb5a84efcb393ba9e8ee1097e-1769767288074-01689-_m0cgmnJ&amp;shareId=22026319589&amp;businessType=ProductDetail&amp;platform=AE&amp;terminal_id=cc4afd8f2d554935b6870bedb8309d0d&amp;afSmartRedirect=y" TargetMode="External"/><Relationship Id="rId27" Type="http://schemas.openxmlformats.org/officeDocument/2006/relationships/hyperlink" Target="https://www.amazon.es/dp/B0F7Y52S94?ref=cm_sw_r_cso_cp_apan_dp_192YSHW3BA4JHBD6PW4P&amp;ref_=cm_sw_r_cso_cp_apan_dp_192YSHW3BA4JHBD6PW4P&amp;social_share=cm_sw_r_cso_cp_apan_dp_192YSHW3BA4JHBD6PW4P" TargetMode="External"/><Relationship Id="rId5" Type="http://schemas.openxmlformats.org/officeDocument/2006/relationships/hyperlink" Target="https://www.digikey.nl/nl/products/detail/adafruit-industries-llc/2717/5604376" TargetMode="External"/><Relationship Id="rId6" Type="http://schemas.openxmlformats.org/officeDocument/2006/relationships/hyperlink" Target="https://www.tinytronics.nl/en/development-boards/microcontroller-boards/with-wi-fi/unexpected-maker-pros3-esp32-s3-development-board-usb-c-ufl-antenna-connector" TargetMode="External"/><Relationship Id="rId29" Type="http://schemas.openxmlformats.org/officeDocument/2006/relationships/hyperlink" Target="https://www.amazon.nl/dp/B0BG5755B8?ref=cm_sw_r_cso_cp_apan_dp_738XXSPSKRPHH64XTNPR&amp;ref_=cm_sw_r_cso_cp_apan_dp_738XXSPSKRPHH64XTNPR&amp;social_share=cm_sw_r_cso_cp_apan_dp_738XXSPSKRPHH64XTNPR" TargetMode="External"/><Relationship Id="rId7" Type="http://schemas.openxmlformats.org/officeDocument/2006/relationships/hyperlink" Target="https://www.tinytronics.nl/en/development-boards/microcontroller-boards/with-wi-fi/unexpected-maker-pros3-esp32-s3-development-board-usb-c" TargetMode="External"/><Relationship Id="rId8" Type="http://schemas.openxmlformats.org/officeDocument/2006/relationships/hyperlink" Target="https://www.digikey.nl/nl/products/detail/espressif-systems/ESP32-DEVKITC-VIE/12091811" TargetMode="External"/><Relationship Id="rId31" Type="http://schemas.openxmlformats.org/officeDocument/2006/relationships/hyperlink" Target="https://nl.aliexpress.com/item/1005007784260134.html?invitationCode=SlJVWnlkeVhhUUpYeUpQYUhYUThJdnhHcTFFdXRWTGpGZE5vZXhVcWFPaWVQemFTZUJrNWVWT0s1MU1hdTAyWg&amp;srcSns=sns_Copy&amp;sourceType=1&amp;spreadType=socialShare&amp;social_params=22024456343&amp;bizType=ProductDetail&amp;spreadCode=SlJVWnlkeVhhUUpYeUpQYUhYUThJdnhHcTFFdXRWTGpGZE5vZXhVcWFPaWVQemFTZUJrNWVWT0s1MU1hdTAyWg&amp;aff_fcid=4d3ca8be3098469387cd81afc9bdfaaa-1769768374944-02043-_mKRclJ3&amp;tt=MG&amp;aff_fsk=_mKRclJ3&amp;aff_platform=default&amp;sk=_mKRclJ3&amp;aff_trace_key=4d3ca8be3098469387cd81afc9bdfaaa-1769768374944-02043-_mKRclJ3&amp;shareId=22024456343&amp;businessType=ProductDetail&amp;platform=AE&amp;terminal_id=cc4afd8f2d554935b6870bedb8309d0d&amp;afSmartRedirect=y" TargetMode="External"/><Relationship Id="rId30" Type="http://schemas.openxmlformats.org/officeDocument/2006/relationships/hyperlink" Target="https://www.amazon.nl/dp/B091FCWMP1?ref=cm_sw_r_cso_cp_apan_dp_4J5C6XJH9MVVDWH27V2F&amp;ref_=cm_sw_r_cso_cp_apan_dp_4J5C6XJH9MVVDWH27V2F&amp;social_share=cm_sw_r_cso_cp_apan_dp_4J5C6XJH9MVVDWH27V2F" TargetMode="External"/><Relationship Id="rId11" Type="http://schemas.openxmlformats.org/officeDocument/2006/relationships/hyperlink" Target="https://www.conrad.nl/nl/p/joy-it-com-msd-uitbreidingsmodule-1-stuk-s-2582441.html" TargetMode="External"/><Relationship Id="rId33" Type="http://schemas.openxmlformats.org/officeDocument/2006/relationships/drawing" Target="../drawings/drawing1.xml"/><Relationship Id="rId10" Type="http://schemas.openxmlformats.org/officeDocument/2006/relationships/hyperlink" Target="https://www.digikey.nl/nl/products/detail/sparkfun-electronics/KIT-27922/26905543" TargetMode="External"/><Relationship Id="rId32" Type="http://schemas.openxmlformats.org/officeDocument/2006/relationships/hyperlink" Target="https://nl.aliexpress.com/item/1005010438216225.html?spm=a2g0o.productlist.main.6.3445784etZeO8f&amp;algo_pvid=863ff644-2327-4bbd-96d5-9a55ed2ab893&amp;algo_exp_id=863ff644-2327-4bbd-96d5-9a55ed2ab893-5&amp;pdp_ext_f=%7B%22order%22%3A%229%22%2C%22eval%22%3A%221%22%2C%22fromPage%22%3A%22search%22%7D&amp;pdp_npi=6%40dis%21EUR%21113.00%2149.99%21%21%21913.50%21404.13%21%40211b816617697925671173148e3cf2%2112000052404303907%21sea%21NL%210%21ABX%211%210%21n_tag%3A-29910%3Bd%3Ace4d8500%3Bm03_new_user%3A-29895%3BpisId%3A5000000197833545&amp;curPageLogUid=PLd1rr8fRPcD&amp;utparam-url=scene%3Asearch%7Cquery_from%3A%7Cx_object_id%3A1005010438216225%7C_p_origin_prod%3A" TargetMode="External"/><Relationship Id="rId13" Type="http://schemas.openxmlformats.org/officeDocument/2006/relationships/hyperlink" Target="https://www.digikey.nl/nl/products/detail/epcos-tdk-electronics/B32529C1154J000/592728?s=N4IgTCBcDaIEIGYwFYwE4DCBGLyAsAUgAwkgC6AvkA" TargetMode="External"/><Relationship Id="rId12" Type="http://schemas.openxmlformats.org/officeDocument/2006/relationships/hyperlink" Target="https://www.digikey.nl/nl/products/detail/epcos-tdk-electronics/B32529C1104J289/1089760" TargetMode="External"/><Relationship Id="rId34" Type="http://schemas.openxmlformats.org/officeDocument/2006/relationships/vmlDrawing" Target="../drawings/vmlDrawing1.vml"/><Relationship Id="rId15" Type="http://schemas.openxmlformats.org/officeDocument/2006/relationships/hyperlink" Target="https://www.digikey.nl/nl/products/detail/epcos-tdk-electronics/B32529C1334J000/592735?s=N4IgTCBcDaICwE4CsBaAjGpAOFA5AIiALoC%2BQA" TargetMode="External"/><Relationship Id="rId14" Type="http://schemas.openxmlformats.org/officeDocument/2006/relationships/hyperlink" Target="https://www.digikey.nl/nl/products/detail/epcos-tdk-electronics/B32529C1224J289/1089771" TargetMode="External"/><Relationship Id="rId17" Type="http://schemas.openxmlformats.org/officeDocument/2006/relationships/hyperlink" Target="https://www.digikey.nl/nl/products/detail/ohmite/OX472KE/823935?s=N4IgTCBcDaIPIA0AsB2MBpAogWgHIBEQBdAXyA" TargetMode="External"/><Relationship Id="rId16" Type="http://schemas.openxmlformats.org/officeDocument/2006/relationships/hyperlink" Target="https://www.digikey.nl/nl/products/detail/ohmite/OX102KE/823904?s=N4IgTCBcDaIPIA0CMAGMBpAogWgHIBEQBdAXyA" TargetMode="External"/><Relationship Id="rId19" Type="http://schemas.openxmlformats.org/officeDocument/2006/relationships/hyperlink" Target="https://nl.aliexpress.com/item/1005005356484101.html?invitationCode=NVEyVkhSWTRnRUhBMEc5K3RuNVFQZnhHcTFFdXRWTGpGZE5vZXhVcWFPaWVQemFTZUJrNWVWT0s1MU1hdTAyWg&amp;srcSns=sns_Copy&amp;spreadType=socialShare&amp;social_params=22020656807&amp;bizType=ProductDetail&amp;spreadCode=NVEyVkhSWTRnRUhBMEc5K3RuNVFQZnhHcTFFdXRWTGpGZE5vZXhVcWFPaWVQemFTZUJrNWVWT0s1MU1hdTAyWg&amp;aff_fcid=c55d0ebdefc849d4ba5470c2001f8d35-1769717428728-01435-_mNJHWXP&amp;tt=MG&amp;aff_fsk=_mNJHWXP&amp;aff_platform=default&amp;sk=_mNJHWXP&amp;aff_trace_key=c55d0ebdefc849d4ba5470c2001f8d35-1769717428728-01435-_mNJHWXP&amp;shareId=22020656807&amp;businessType=ProductDetail&amp;platform=AE&amp;terminal_id=cc4afd8f2d554935b6870bedb8309d0d&amp;afSmartRedirect=y&amp;gatewayAdapt=glo2nld" TargetMode="External"/><Relationship Id="rId18" Type="http://schemas.openxmlformats.org/officeDocument/2006/relationships/hyperlink" Target="https://www.digikey.nl/nl/products/detail/ohmite/OX103KE/82390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0.13"/>
    <col customWidth="1" min="3" max="3" width="34.38"/>
    <col customWidth="1" min="4" max="4" width="15.0"/>
    <col customWidth="1" min="5" max="5" width="15.25"/>
    <col customWidth="1" min="6" max="6" width="57.88"/>
    <col customWidth="1" min="7" max="7" width="8.5"/>
    <col customWidth="1" min="8" max="8" width="4.25"/>
    <col customWidth="1" min="9" max="9" width="10.25"/>
    <col customWidth="1" min="10" max="10" width="12.88"/>
    <col customWidth="1" min="11" max="11" width="162.38"/>
  </cols>
  <sheetData>
    <row r="1">
      <c r="A1" s="1" t="s">
        <v>0</v>
      </c>
      <c r="B1" s="1" t="s">
        <v>1</v>
      </c>
      <c r="C1" s="1" t="s">
        <v>2</v>
      </c>
      <c r="D1" s="1" t="s">
        <v>3</v>
      </c>
      <c r="E1" s="1" t="s">
        <v>4</v>
      </c>
      <c r="F1" s="1" t="s">
        <v>5</v>
      </c>
      <c r="G1" s="1" t="s">
        <v>6</v>
      </c>
      <c r="H1" s="1" t="s">
        <v>7</v>
      </c>
      <c r="I1" s="2" t="s">
        <v>8</v>
      </c>
      <c r="J1" s="2" t="s">
        <v>9</v>
      </c>
      <c r="K1" s="1" t="s">
        <v>10</v>
      </c>
    </row>
    <row r="2">
      <c r="A2" s="3">
        <v>1.0</v>
      </c>
      <c r="B2" s="4" t="s">
        <v>11</v>
      </c>
      <c r="C2" s="4" t="s">
        <v>12</v>
      </c>
      <c r="D2" s="4" t="s">
        <v>13</v>
      </c>
      <c r="E2" s="5">
        <v>4554.0</v>
      </c>
      <c r="F2" s="6" t="s">
        <v>14</v>
      </c>
      <c r="G2" s="4">
        <v>5.0</v>
      </c>
      <c r="H2" s="4">
        <v>0.0</v>
      </c>
      <c r="I2" s="7">
        <v>12.6</v>
      </c>
      <c r="J2" s="7">
        <f t="shared" ref="J2:J32" si="1">SUM(G2:H2)*I2</f>
        <v>63</v>
      </c>
      <c r="K2" s="4" t="s">
        <v>15</v>
      </c>
    </row>
    <row r="3">
      <c r="A3" s="3">
        <v>2.0</v>
      </c>
      <c r="B3" s="4" t="s">
        <v>16</v>
      </c>
      <c r="C3" s="4" t="s">
        <v>17</v>
      </c>
      <c r="D3" s="4" t="s">
        <v>13</v>
      </c>
      <c r="E3" s="5">
        <v>2717.0</v>
      </c>
      <c r="F3" s="6" t="s">
        <v>18</v>
      </c>
      <c r="G3" s="4">
        <v>1.0</v>
      </c>
      <c r="H3" s="4">
        <v>1.0</v>
      </c>
      <c r="I3" s="7">
        <v>5.8</v>
      </c>
      <c r="J3" s="7">
        <f t="shared" si="1"/>
        <v>11.6</v>
      </c>
      <c r="K3" s="4" t="s">
        <v>19</v>
      </c>
    </row>
    <row r="4">
      <c r="A4" s="3">
        <v>3.0</v>
      </c>
      <c r="B4" s="8" t="s">
        <v>20</v>
      </c>
      <c r="C4" s="8" t="s">
        <v>21</v>
      </c>
      <c r="D4" s="8" t="s">
        <v>22</v>
      </c>
      <c r="E4" s="9">
        <v>5824.0</v>
      </c>
      <c r="F4" s="10" t="s">
        <v>23</v>
      </c>
      <c r="G4" s="4">
        <v>1.0</v>
      </c>
      <c r="H4" s="4">
        <v>0.0</v>
      </c>
      <c r="I4" s="7">
        <v>23.0</v>
      </c>
      <c r="J4" s="7">
        <f t="shared" si="1"/>
        <v>23</v>
      </c>
      <c r="K4" s="4" t="s">
        <v>24</v>
      </c>
    </row>
    <row r="5">
      <c r="A5" s="3">
        <v>4.0</v>
      </c>
      <c r="B5" s="4" t="s">
        <v>20</v>
      </c>
      <c r="C5" s="4" t="s">
        <v>25</v>
      </c>
      <c r="D5" s="4" t="s">
        <v>22</v>
      </c>
      <c r="E5" s="5">
        <v>5850.0</v>
      </c>
      <c r="F5" s="10" t="s">
        <v>26</v>
      </c>
      <c r="G5" s="4">
        <v>1.0</v>
      </c>
      <c r="H5" s="4">
        <v>0.0</v>
      </c>
      <c r="I5" s="7">
        <v>23.0</v>
      </c>
      <c r="J5" s="7">
        <f t="shared" si="1"/>
        <v>23</v>
      </c>
      <c r="K5" s="4" t="s">
        <v>27</v>
      </c>
    </row>
    <row r="6">
      <c r="A6" s="3">
        <v>5.0</v>
      </c>
      <c r="B6" s="4" t="s">
        <v>20</v>
      </c>
      <c r="C6" s="4" t="s">
        <v>28</v>
      </c>
      <c r="D6" s="4" t="s">
        <v>29</v>
      </c>
      <c r="E6" s="5">
        <v>1965.0</v>
      </c>
      <c r="F6" s="6" t="s">
        <v>30</v>
      </c>
      <c r="G6" s="4">
        <v>1.0</v>
      </c>
      <c r="H6" s="4">
        <v>0.0</v>
      </c>
      <c r="I6" s="7">
        <v>9.3</v>
      </c>
      <c r="J6" s="7">
        <f t="shared" si="1"/>
        <v>9.3</v>
      </c>
      <c r="K6" s="4" t="s">
        <v>31</v>
      </c>
    </row>
    <row r="7">
      <c r="A7" s="3">
        <v>6.0</v>
      </c>
      <c r="B7" s="4" t="s">
        <v>32</v>
      </c>
      <c r="C7" s="4" t="s">
        <v>33</v>
      </c>
      <c r="D7" s="4" t="s">
        <v>34</v>
      </c>
      <c r="E7" s="5">
        <v>4737.0</v>
      </c>
      <c r="F7" s="6" t="s">
        <v>35</v>
      </c>
      <c r="G7" s="4">
        <v>1.0</v>
      </c>
      <c r="H7" s="4">
        <v>0.0</v>
      </c>
      <c r="I7" s="7">
        <v>12.6</v>
      </c>
      <c r="J7" s="7">
        <f t="shared" si="1"/>
        <v>12.6</v>
      </c>
      <c r="K7" s="4" t="s">
        <v>36</v>
      </c>
    </row>
    <row r="8">
      <c r="A8" s="3">
        <v>7.0</v>
      </c>
      <c r="B8" s="4" t="s">
        <v>32</v>
      </c>
      <c r="C8" s="4" t="s">
        <v>37</v>
      </c>
      <c r="D8" s="4" t="s">
        <v>38</v>
      </c>
      <c r="E8" s="5" t="s">
        <v>39</v>
      </c>
      <c r="F8" s="10" t="s">
        <v>40</v>
      </c>
      <c r="G8" s="4">
        <v>1.0</v>
      </c>
      <c r="H8" s="4">
        <v>0.0</v>
      </c>
      <c r="I8" s="7">
        <v>115.0</v>
      </c>
      <c r="J8" s="7">
        <f t="shared" si="1"/>
        <v>115</v>
      </c>
      <c r="K8" s="4" t="s">
        <v>41</v>
      </c>
    </row>
    <row r="9">
      <c r="A9" s="3">
        <v>8.0</v>
      </c>
      <c r="B9" s="4" t="s">
        <v>42</v>
      </c>
      <c r="C9" s="4" t="s">
        <v>43</v>
      </c>
      <c r="D9" s="4" t="s">
        <v>44</v>
      </c>
      <c r="E9" s="5" t="s">
        <v>45</v>
      </c>
      <c r="F9" s="6" t="s">
        <v>46</v>
      </c>
      <c r="G9" s="4">
        <v>1.0</v>
      </c>
      <c r="H9" s="4">
        <v>3.0</v>
      </c>
      <c r="I9" s="7">
        <v>5.0</v>
      </c>
      <c r="J9" s="7">
        <f t="shared" si="1"/>
        <v>20</v>
      </c>
      <c r="K9" s="4" t="s">
        <v>47</v>
      </c>
    </row>
    <row r="10">
      <c r="A10" s="3">
        <v>9.0</v>
      </c>
      <c r="B10" s="4" t="s">
        <v>48</v>
      </c>
      <c r="C10" s="4" t="s">
        <v>49</v>
      </c>
      <c r="D10" s="4" t="s">
        <v>50</v>
      </c>
      <c r="E10" s="5" t="s">
        <v>51</v>
      </c>
      <c r="F10" s="6" t="s">
        <v>52</v>
      </c>
      <c r="G10" s="4">
        <v>10.0</v>
      </c>
      <c r="H10" s="4">
        <v>40.0</v>
      </c>
      <c r="I10" s="7">
        <v>0.1104</v>
      </c>
      <c r="J10" s="7">
        <f t="shared" si="1"/>
        <v>5.52</v>
      </c>
      <c r="K10" s="4" t="s">
        <v>53</v>
      </c>
    </row>
    <row r="11">
      <c r="A11" s="3">
        <v>10.0</v>
      </c>
      <c r="B11" s="4" t="s">
        <v>48</v>
      </c>
      <c r="C11" s="4" t="s">
        <v>54</v>
      </c>
      <c r="D11" s="4" t="s">
        <v>50</v>
      </c>
      <c r="E11" s="5" t="s">
        <v>55</v>
      </c>
      <c r="F11" s="6" t="s">
        <v>56</v>
      </c>
      <c r="G11" s="4">
        <v>0.0</v>
      </c>
      <c r="H11" s="4">
        <v>10.0</v>
      </c>
      <c r="I11" s="7">
        <v>0.226</v>
      </c>
      <c r="J11" s="7">
        <f t="shared" si="1"/>
        <v>2.26</v>
      </c>
      <c r="K11" s="4" t="s">
        <v>57</v>
      </c>
    </row>
    <row r="12">
      <c r="A12" s="3">
        <v>11.0</v>
      </c>
      <c r="B12" s="4" t="s">
        <v>48</v>
      </c>
      <c r="C12" s="4" t="s">
        <v>58</v>
      </c>
      <c r="D12" s="4" t="s">
        <v>50</v>
      </c>
      <c r="E12" s="5" t="s">
        <v>59</v>
      </c>
      <c r="F12" s="10" t="s">
        <v>60</v>
      </c>
      <c r="G12" s="4">
        <v>0.0</v>
      </c>
      <c r="H12" s="4">
        <v>20.0</v>
      </c>
      <c r="I12" s="7">
        <v>0.243</v>
      </c>
      <c r="J12" s="7">
        <f t="shared" si="1"/>
        <v>4.86</v>
      </c>
      <c r="K12" s="4" t="s">
        <v>61</v>
      </c>
    </row>
    <row r="13">
      <c r="A13" s="3">
        <v>12.0</v>
      </c>
      <c r="B13" s="4" t="s">
        <v>48</v>
      </c>
      <c r="C13" s="4" t="s">
        <v>62</v>
      </c>
      <c r="D13" s="4" t="s">
        <v>50</v>
      </c>
      <c r="E13" s="5" t="s">
        <v>63</v>
      </c>
      <c r="F13" s="6" t="s">
        <v>64</v>
      </c>
      <c r="G13" s="4">
        <v>0.0</v>
      </c>
      <c r="H13" s="4">
        <v>50.0</v>
      </c>
      <c r="I13" s="7">
        <v>0.2172</v>
      </c>
      <c r="J13" s="7">
        <f t="shared" si="1"/>
        <v>10.86</v>
      </c>
      <c r="K13" s="4" t="s">
        <v>65</v>
      </c>
    </row>
    <row r="14">
      <c r="A14" s="3">
        <v>13.0</v>
      </c>
      <c r="B14" s="4" t="s">
        <v>66</v>
      </c>
      <c r="C14" s="4" t="s">
        <v>67</v>
      </c>
      <c r="D14" s="4" t="s">
        <v>68</v>
      </c>
      <c r="E14" s="5" t="s">
        <v>69</v>
      </c>
      <c r="F14" s="6" t="s">
        <v>70</v>
      </c>
      <c r="G14" s="4">
        <v>0.0</v>
      </c>
      <c r="H14" s="4">
        <v>10.0</v>
      </c>
      <c r="I14" s="7">
        <v>1.318</v>
      </c>
      <c r="J14" s="7">
        <f t="shared" si="1"/>
        <v>13.18</v>
      </c>
      <c r="K14" s="4" t="s">
        <v>71</v>
      </c>
    </row>
    <row r="15">
      <c r="A15" s="3">
        <v>14.0</v>
      </c>
      <c r="B15" s="4" t="s">
        <v>66</v>
      </c>
      <c r="C15" s="4" t="s">
        <v>72</v>
      </c>
      <c r="D15" s="4" t="s">
        <v>68</v>
      </c>
      <c r="E15" s="5" t="s">
        <v>73</v>
      </c>
      <c r="F15" s="6" t="s">
        <v>74</v>
      </c>
      <c r="G15" s="4">
        <v>8.0</v>
      </c>
      <c r="H15" s="4">
        <v>17.0</v>
      </c>
      <c r="I15" s="7">
        <v>1.138</v>
      </c>
      <c r="J15" s="7">
        <f t="shared" si="1"/>
        <v>28.45</v>
      </c>
      <c r="K15" s="4" t="s">
        <v>75</v>
      </c>
    </row>
    <row r="16">
      <c r="A16" s="3">
        <v>15.0</v>
      </c>
      <c r="B16" s="4" t="s">
        <v>66</v>
      </c>
      <c r="C16" s="4" t="s">
        <v>76</v>
      </c>
      <c r="D16" s="4" t="s">
        <v>68</v>
      </c>
      <c r="E16" s="5" t="s">
        <v>77</v>
      </c>
      <c r="F16" s="6" t="s">
        <v>78</v>
      </c>
      <c r="G16" s="4">
        <v>0.0</v>
      </c>
      <c r="H16" s="4">
        <v>10.0</v>
      </c>
      <c r="I16" s="7">
        <v>1.412</v>
      </c>
      <c r="J16" s="7">
        <f t="shared" si="1"/>
        <v>14.12</v>
      </c>
      <c r="K16" s="4" t="s">
        <v>79</v>
      </c>
    </row>
    <row r="17">
      <c r="A17" s="3">
        <v>16.0</v>
      </c>
      <c r="B17" s="4" t="s">
        <v>80</v>
      </c>
      <c r="C17" s="4" t="s">
        <v>81</v>
      </c>
      <c r="D17" s="4" t="s">
        <v>82</v>
      </c>
      <c r="E17" s="5"/>
      <c r="F17" s="4" t="s">
        <v>83</v>
      </c>
      <c r="G17" s="4">
        <v>0.0</v>
      </c>
      <c r="H17" s="4">
        <v>0.0</v>
      </c>
      <c r="I17" s="7">
        <v>0.0</v>
      </c>
      <c r="J17" s="7">
        <f t="shared" si="1"/>
        <v>0</v>
      </c>
      <c r="K17" s="4" t="s">
        <v>84</v>
      </c>
    </row>
    <row r="18">
      <c r="A18" s="3">
        <v>17.0</v>
      </c>
      <c r="B18" s="4" t="s">
        <v>80</v>
      </c>
      <c r="C18" s="4" t="s">
        <v>85</v>
      </c>
      <c r="D18" s="4" t="s">
        <v>82</v>
      </c>
      <c r="E18" s="5"/>
      <c r="F18" s="4" t="s">
        <v>83</v>
      </c>
      <c r="G18" s="4">
        <v>0.0</v>
      </c>
      <c r="H18" s="4">
        <v>0.0</v>
      </c>
      <c r="I18" s="7">
        <v>0.0</v>
      </c>
      <c r="J18" s="7">
        <f t="shared" si="1"/>
        <v>0</v>
      </c>
      <c r="K18" s="4" t="s">
        <v>86</v>
      </c>
    </row>
    <row r="19">
      <c r="A19" s="3">
        <v>18.0</v>
      </c>
      <c r="B19" s="4" t="s">
        <v>80</v>
      </c>
      <c r="C19" s="4" t="s">
        <v>87</v>
      </c>
      <c r="D19" s="4" t="s">
        <v>88</v>
      </c>
      <c r="E19" s="5" t="s">
        <v>87</v>
      </c>
      <c r="F19" s="6" t="s">
        <v>89</v>
      </c>
      <c r="G19" s="4">
        <v>1.0</v>
      </c>
      <c r="H19" s="4">
        <v>0.0</v>
      </c>
      <c r="I19" s="7">
        <v>18.0</v>
      </c>
      <c r="J19" s="7">
        <f t="shared" si="1"/>
        <v>18</v>
      </c>
      <c r="K19" s="11" t="s">
        <v>90</v>
      </c>
    </row>
    <row r="20">
      <c r="A20" s="3">
        <v>19.0</v>
      </c>
      <c r="B20" s="4" t="s">
        <v>80</v>
      </c>
      <c r="C20" s="4" t="s">
        <v>91</v>
      </c>
      <c r="D20" s="4" t="s">
        <v>92</v>
      </c>
      <c r="E20" s="5">
        <v>2966.0</v>
      </c>
      <c r="F20" s="6" t="s">
        <v>93</v>
      </c>
      <c r="G20" s="4">
        <v>1.0</v>
      </c>
      <c r="H20" s="4">
        <v>1.0</v>
      </c>
      <c r="I20" s="7">
        <v>6.0</v>
      </c>
      <c r="J20" s="7">
        <f t="shared" si="1"/>
        <v>12</v>
      </c>
      <c r="K20" s="4" t="s">
        <v>94</v>
      </c>
    </row>
    <row r="21">
      <c r="A21" s="3">
        <v>20.0</v>
      </c>
      <c r="B21" s="4" t="s">
        <v>95</v>
      </c>
      <c r="C21" s="4" t="s">
        <v>96</v>
      </c>
      <c r="D21" s="4" t="s">
        <v>88</v>
      </c>
      <c r="E21" s="5" t="s">
        <v>97</v>
      </c>
      <c r="F21" s="6" t="s">
        <v>98</v>
      </c>
      <c r="G21" s="4">
        <v>1.0</v>
      </c>
      <c r="H21" s="4">
        <v>0.0</v>
      </c>
      <c r="I21" s="7">
        <v>13.0</v>
      </c>
      <c r="J21" s="7">
        <f t="shared" si="1"/>
        <v>13</v>
      </c>
      <c r="K21" s="4" t="s">
        <v>99</v>
      </c>
    </row>
    <row r="22">
      <c r="A22" s="3">
        <v>21.0</v>
      </c>
      <c r="B22" s="4" t="s">
        <v>95</v>
      </c>
      <c r="C22" s="4" t="s">
        <v>100</v>
      </c>
      <c r="D22" s="4" t="s">
        <v>38</v>
      </c>
      <c r="E22" s="5">
        <v>17257.0</v>
      </c>
      <c r="F22" s="6" t="s">
        <v>101</v>
      </c>
      <c r="G22" s="4">
        <v>5.0</v>
      </c>
      <c r="H22" s="4">
        <v>5.0</v>
      </c>
      <c r="I22" s="7">
        <v>2.75</v>
      </c>
      <c r="J22" s="7">
        <f t="shared" si="1"/>
        <v>27.5</v>
      </c>
      <c r="K22" s="4" t="s">
        <v>102</v>
      </c>
    </row>
    <row r="23">
      <c r="A23" s="3">
        <v>22.0</v>
      </c>
      <c r="B23" s="4" t="s">
        <v>95</v>
      </c>
      <c r="C23" s="4" t="s">
        <v>103</v>
      </c>
      <c r="D23" s="4" t="s">
        <v>104</v>
      </c>
      <c r="E23" s="5" t="s">
        <v>105</v>
      </c>
      <c r="F23" s="6" t="s">
        <v>106</v>
      </c>
      <c r="G23" s="4">
        <v>1.0</v>
      </c>
      <c r="H23" s="4">
        <v>4.0</v>
      </c>
      <c r="I23" s="7">
        <v>9.0</v>
      </c>
      <c r="J23" s="7">
        <f t="shared" si="1"/>
        <v>45</v>
      </c>
      <c r="K23" s="4" t="s">
        <v>107</v>
      </c>
    </row>
    <row r="24">
      <c r="A24" s="3">
        <v>23.0</v>
      </c>
      <c r="B24" s="4" t="s">
        <v>108</v>
      </c>
      <c r="C24" s="4" t="s">
        <v>109</v>
      </c>
      <c r="D24" s="4" t="s">
        <v>110</v>
      </c>
      <c r="E24" s="5" t="s">
        <v>111</v>
      </c>
      <c r="F24" s="6" t="s">
        <v>112</v>
      </c>
      <c r="G24" s="12">
        <v>3.0</v>
      </c>
      <c r="H24" s="12">
        <v>6.0</v>
      </c>
      <c r="I24" s="13">
        <v>3.0</v>
      </c>
      <c r="J24" s="13">
        <f t="shared" si="1"/>
        <v>27</v>
      </c>
      <c r="K24" s="4" t="s">
        <v>113</v>
      </c>
    </row>
    <row r="25">
      <c r="A25" s="3">
        <v>24.0</v>
      </c>
      <c r="B25" s="4" t="s">
        <v>114</v>
      </c>
      <c r="C25" s="4" t="s">
        <v>115</v>
      </c>
      <c r="D25" s="4" t="s">
        <v>116</v>
      </c>
      <c r="E25" s="5" t="s">
        <v>117</v>
      </c>
      <c r="F25" s="6" t="s">
        <v>118</v>
      </c>
      <c r="G25" s="4">
        <v>1.0</v>
      </c>
      <c r="H25" s="4">
        <v>0.0</v>
      </c>
      <c r="I25" s="7">
        <v>159.0</v>
      </c>
      <c r="J25" s="7">
        <f t="shared" si="1"/>
        <v>159</v>
      </c>
      <c r="K25" s="4" t="s">
        <v>119</v>
      </c>
    </row>
    <row r="26">
      <c r="A26" s="3">
        <v>25.0</v>
      </c>
      <c r="B26" s="4" t="s">
        <v>114</v>
      </c>
      <c r="C26" s="4" t="s">
        <v>120</v>
      </c>
      <c r="D26" s="4" t="s">
        <v>116</v>
      </c>
      <c r="E26" s="5" t="s">
        <v>121</v>
      </c>
      <c r="F26" s="10" t="s">
        <v>122</v>
      </c>
      <c r="G26" s="4">
        <v>1.0</v>
      </c>
      <c r="H26" s="4">
        <v>0.0</v>
      </c>
      <c r="I26" s="7">
        <v>36.0</v>
      </c>
      <c r="J26" s="7">
        <f t="shared" si="1"/>
        <v>36</v>
      </c>
      <c r="K26" s="4" t="s">
        <v>123</v>
      </c>
    </row>
    <row r="27">
      <c r="A27" s="3">
        <v>26.0</v>
      </c>
      <c r="B27" s="4" t="s">
        <v>114</v>
      </c>
      <c r="C27" s="4" t="s">
        <v>124</v>
      </c>
      <c r="D27" s="4" t="s">
        <v>116</v>
      </c>
      <c r="E27" s="5" t="s">
        <v>117</v>
      </c>
      <c r="F27" s="6" t="s">
        <v>125</v>
      </c>
      <c r="G27" s="4">
        <v>1.0</v>
      </c>
      <c r="H27" s="4">
        <v>0.0</v>
      </c>
      <c r="I27" s="7">
        <v>22.0</v>
      </c>
      <c r="J27" s="7">
        <f t="shared" si="1"/>
        <v>22</v>
      </c>
      <c r="K27" s="11" t="s">
        <v>126</v>
      </c>
    </row>
    <row r="28">
      <c r="A28" s="3">
        <v>27.0</v>
      </c>
      <c r="B28" s="4" t="s">
        <v>114</v>
      </c>
      <c r="C28" s="4" t="s">
        <v>127</v>
      </c>
      <c r="D28" s="4" t="s">
        <v>88</v>
      </c>
      <c r="E28" s="5" t="s">
        <v>128</v>
      </c>
      <c r="F28" s="6" t="s">
        <v>129</v>
      </c>
      <c r="G28" s="12">
        <v>1.0</v>
      </c>
      <c r="H28" s="12">
        <v>0.0</v>
      </c>
      <c r="I28" s="13">
        <v>7.0</v>
      </c>
      <c r="J28" s="13">
        <f t="shared" si="1"/>
        <v>7</v>
      </c>
      <c r="K28" s="11" t="s">
        <v>130</v>
      </c>
    </row>
    <row r="29">
      <c r="A29" s="3">
        <v>28.0</v>
      </c>
      <c r="B29" s="4" t="s">
        <v>114</v>
      </c>
      <c r="C29" s="4" t="s">
        <v>131</v>
      </c>
      <c r="D29" s="4" t="s">
        <v>132</v>
      </c>
      <c r="E29" s="5" t="s">
        <v>133</v>
      </c>
      <c r="F29" s="6" t="s">
        <v>134</v>
      </c>
      <c r="G29" s="4">
        <v>1.0</v>
      </c>
      <c r="H29" s="4">
        <v>0.0</v>
      </c>
      <c r="I29" s="7">
        <v>46.0</v>
      </c>
      <c r="J29" s="7">
        <f t="shared" si="1"/>
        <v>46</v>
      </c>
      <c r="K29" s="4" t="s">
        <v>135</v>
      </c>
    </row>
    <row r="30">
      <c r="A30" s="3">
        <v>29.0</v>
      </c>
      <c r="B30" s="4" t="s">
        <v>114</v>
      </c>
      <c r="C30" s="4" t="s">
        <v>136</v>
      </c>
      <c r="D30" s="14" t="s">
        <v>137</v>
      </c>
      <c r="E30" s="5" t="s">
        <v>138</v>
      </c>
      <c r="F30" s="6" t="s">
        <v>139</v>
      </c>
      <c r="G30" s="12">
        <v>1.0</v>
      </c>
      <c r="H30" s="12">
        <v>0.0</v>
      </c>
      <c r="I30" s="13">
        <v>59.0</v>
      </c>
      <c r="J30" s="13">
        <f t="shared" si="1"/>
        <v>59</v>
      </c>
      <c r="K30" s="11" t="s">
        <v>140</v>
      </c>
    </row>
    <row r="31">
      <c r="A31" s="3">
        <v>30.0</v>
      </c>
      <c r="B31" s="4" t="s">
        <v>114</v>
      </c>
      <c r="C31" s="4" t="s">
        <v>141</v>
      </c>
      <c r="D31" s="4" t="s">
        <v>142</v>
      </c>
      <c r="E31" s="5" t="s">
        <v>143</v>
      </c>
      <c r="F31" s="6" t="s">
        <v>144</v>
      </c>
      <c r="G31" s="4">
        <v>1.0</v>
      </c>
      <c r="H31" s="4">
        <v>0.0</v>
      </c>
      <c r="I31" s="7">
        <v>45.0</v>
      </c>
      <c r="J31" s="7">
        <f t="shared" si="1"/>
        <v>45</v>
      </c>
      <c r="K31" s="4" t="s">
        <v>145</v>
      </c>
    </row>
    <row r="32">
      <c r="A32" s="3">
        <v>31.0</v>
      </c>
      <c r="B32" s="4" t="s">
        <v>146</v>
      </c>
      <c r="C32" s="15" t="s">
        <v>147</v>
      </c>
      <c r="D32" s="4" t="s">
        <v>148</v>
      </c>
      <c r="E32" s="16" t="s">
        <v>149</v>
      </c>
      <c r="F32" s="6" t="s">
        <v>150</v>
      </c>
      <c r="G32" s="12">
        <v>1.0</v>
      </c>
      <c r="H32" s="12">
        <v>0.0</v>
      </c>
      <c r="I32" s="13">
        <v>56.0</v>
      </c>
      <c r="J32" s="13">
        <f t="shared" si="1"/>
        <v>56</v>
      </c>
      <c r="K32" s="4" t="s">
        <v>151</v>
      </c>
    </row>
    <row r="33">
      <c r="A33" s="17"/>
      <c r="G33" s="4" t="s">
        <v>152</v>
      </c>
      <c r="I33" s="18">
        <f>SUM(I2:I32)</f>
        <v>692.7146</v>
      </c>
    </row>
    <row r="34">
      <c r="A34" s="17"/>
      <c r="E34" s="19"/>
      <c r="G34" s="4" t="s">
        <v>153</v>
      </c>
      <c r="I34" s="18">
        <f>SUM(J2:J32)</f>
        <v>929.25</v>
      </c>
    </row>
    <row r="35">
      <c r="A35" s="17"/>
      <c r="C35" s="4" t="s">
        <v>154</v>
      </c>
      <c r="E35" s="19"/>
      <c r="I35" s="20"/>
      <c r="J35" s="20"/>
    </row>
    <row r="36">
      <c r="A36" s="17"/>
      <c r="E36" s="19"/>
      <c r="I36" s="20"/>
      <c r="J36" s="20"/>
    </row>
    <row r="37">
      <c r="A37" s="17"/>
      <c r="E37" s="19"/>
      <c r="I37" s="20"/>
      <c r="J37" s="20"/>
    </row>
    <row r="38">
      <c r="A38" s="17"/>
      <c r="E38" s="19"/>
      <c r="I38" s="20"/>
      <c r="J38" s="20"/>
    </row>
    <row r="39">
      <c r="A39" s="17"/>
      <c r="E39" s="19"/>
      <c r="I39" s="20"/>
      <c r="J39" s="20"/>
    </row>
    <row r="40">
      <c r="A40" s="17"/>
      <c r="E40" s="19"/>
      <c r="I40" s="20"/>
      <c r="J40" s="20"/>
    </row>
    <row r="41">
      <c r="A41" s="17"/>
      <c r="E41" s="19"/>
      <c r="I41" s="20"/>
      <c r="J41" s="20"/>
    </row>
    <row r="42">
      <c r="A42" s="17"/>
      <c r="E42" s="19"/>
      <c r="I42" s="20"/>
      <c r="J42" s="20"/>
    </row>
    <row r="43">
      <c r="A43" s="17"/>
      <c r="E43" s="19"/>
      <c r="I43" s="20"/>
      <c r="J43" s="20"/>
    </row>
    <row r="44">
      <c r="A44" s="17"/>
      <c r="E44" s="19"/>
      <c r="I44" s="20"/>
      <c r="J44" s="20"/>
    </row>
    <row r="45">
      <c r="A45" s="17"/>
      <c r="E45" s="19"/>
      <c r="I45" s="20"/>
      <c r="J45" s="20"/>
    </row>
    <row r="46">
      <c r="A46" s="17"/>
      <c r="E46" s="19"/>
      <c r="I46" s="20"/>
      <c r="J46" s="20"/>
    </row>
    <row r="47">
      <c r="A47" s="17"/>
      <c r="E47" s="19"/>
      <c r="I47" s="20"/>
      <c r="J47" s="20"/>
    </row>
    <row r="48">
      <c r="A48" s="17"/>
      <c r="E48" s="19"/>
      <c r="I48" s="20"/>
      <c r="J48" s="20"/>
    </row>
    <row r="49">
      <c r="A49" s="17"/>
      <c r="E49" s="19"/>
      <c r="I49" s="20"/>
      <c r="J49" s="20"/>
    </row>
    <row r="50">
      <c r="A50" s="17"/>
      <c r="E50" s="19"/>
      <c r="I50" s="20"/>
      <c r="J50" s="20"/>
    </row>
    <row r="51">
      <c r="A51" s="17"/>
      <c r="E51" s="19"/>
      <c r="I51" s="20"/>
      <c r="J51" s="20"/>
    </row>
    <row r="52">
      <c r="A52" s="17"/>
      <c r="E52" s="19"/>
      <c r="I52" s="20"/>
      <c r="J52" s="20"/>
    </row>
    <row r="53">
      <c r="A53" s="17"/>
      <c r="E53" s="19"/>
      <c r="I53" s="20"/>
      <c r="J53" s="20"/>
    </row>
    <row r="54">
      <c r="A54" s="17"/>
      <c r="E54" s="19"/>
      <c r="I54" s="20"/>
      <c r="J54" s="20"/>
    </row>
    <row r="55">
      <c r="A55" s="17"/>
      <c r="E55" s="19"/>
      <c r="I55" s="20"/>
      <c r="J55" s="20"/>
    </row>
    <row r="56">
      <c r="A56" s="17"/>
      <c r="E56" s="19"/>
      <c r="I56" s="20"/>
      <c r="J56" s="20"/>
    </row>
    <row r="57">
      <c r="A57" s="17"/>
      <c r="E57" s="19"/>
      <c r="I57" s="20"/>
      <c r="J57" s="20"/>
    </row>
    <row r="58">
      <c r="A58" s="17"/>
      <c r="E58" s="19"/>
      <c r="I58" s="20"/>
      <c r="J58" s="20"/>
    </row>
    <row r="59">
      <c r="A59" s="17"/>
      <c r="E59" s="19"/>
      <c r="I59" s="20"/>
      <c r="J59" s="20"/>
    </row>
    <row r="60">
      <c r="A60" s="17"/>
      <c r="E60" s="19"/>
      <c r="I60" s="20"/>
      <c r="J60" s="20"/>
    </row>
    <row r="61">
      <c r="A61" s="17"/>
      <c r="E61" s="19"/>
      <c r="I61" s="20"/>
      <c r="J61" s="20"/>
    </row>
    <row r="62">
      <c r="A62" s="17"/>
      <c r="E62" s="19"/>
      <c r="I62" s="20"/>
      <c r="J62" s="20"/>
    </row>
    <row r="63">
      <c r="A63" s="17"/>
      <c r="E63" s="19"/>
      <c r="I63" s="20"/>
      <c r="J63" s="20"/>
    </row>
    <row r="64">
      <c r="A64" s="17"/>
      <c r="E64" s="19"/>
      <c r="I64" s="20"/>
      <c r="J64" s="20"/>
    </row>
    <row r="65">
      <c r="A65" s="17"/>
      <c r="E65" s="19"/>
      <c r="I65" s="20"/>
      <c r="J65" s="20"/>
    </row>
    <row r="66">
      <c r="A66" s="17"/>
      <c r="E66" s="19"/>
      <c r="I66" s="20"/>
      <c r="J66" s="20"/>
    </row>
    <row r="67">
      <c r="A67" s="17"/>
      <c r="E67" s="19"/>
      <c r="I67" s="20"/>
      <c r="J67" s="20"/>
    </row>
    <row r="68">
      <c r="A68" s="17"/>
      <c r="E68" s="19"/>
      <c r="I68" s="20"/>
      <c r="J68" s="20"/>
    </row>
    <row r="69">
      <c r="A69" s="17"/>
      <c r="E69" s="19"/>
      <c r="I69" s="20"/>
      <c r="J69" s="20"/>
    </row>
    <row r="70">
      <c r="A70" s="17"/>
      <c r="E70" s="19"/>
      <c r="I70" s="20"/>
      <c r="J70" s="20"/>
    </row>
    <row r="71">
      <c r="A71" s="17"/>
      <c r="E71" s="19"/>
      <c r="I71" s="20"/>
      <c r="J71" s="20"/>
    </row>
    <row r="72">
      <c r="A72" s="17"/>
      <c r="E72" s="19"/>
      <c r="I72" s="20"/>
      <c r="J72" s="20"/>
    </row>
    <row r="73">
      <c r="A73" s="17"/>
      <c r="E73" s="19"/>
      <c r="I73" s="20"/>
      <c r="J73" s="20"/>
    </row>
    <row r="74">
      <c r="A74" s="17"/>
      <c r="E74" s="19"/>
      <c r="I74" s="20"/>
      <c r="J74" s="20"/>
    </row>
    <row r="75">
      <c r="A75" s="17"/>
      <c r="E75" s="19"/>
      <c r="I75" s="20"/>
      <c r="J75" s="20"/>
    </row>
    <row r="76">
      <c r="A76" s="17"/>
      <c r="E76" s="19"/>
      <c r="I76" s="20"/>
      <c r="J76" s="20"/>
    </row>
    <row r="77">
      <c r="A77" s="17"/>
      <c r="E77" s="19"/>
      <c r="I77" s="20"/>
      <c r="J77" s="20"/>
    </row>
    <row r="78">
      <c r="A78" s="17"/>
      <c r="E78" s="19"/>
      <c r="I78" s="20"/>
      <c r="J78" s="20"/>
    </row>
    <row r="79">
      <c r="A79" s="17"/>
      <c r="E79" s="19"/>
      <c r="I79" s="20"/>
      <c r="J79" s="20"/>
    </row>
    <row r="80">
      <c r="A80" s="17"/>
      <c r="E80" s="19"/>
      <c r="I80" s="20"/>
      <c r="J80" s="20"/>
    </row>
    <row r="81">
      <c r="A81" s="17"/>
      <c r="E81" s="19"/>
      <c r="I81" s="20"/>
      <c r="J81" s="20"/>
    </row>
    <row r="82">
      <c r="A82" s="17"/>
      <c r="E82" s="19"/>
      <c r="I82" s="20"/>
      <c r="J82" s="20"/>
    </row>
    <row r="83">
      <c r="A83" s="17"/>
      <c r="E83" s="19"/>
      <c r="I83" s="20"/>
      <c r="J83" s="20"/>
    </row>
    <row r="84">
      <c r="A84" s="17"/>
      <c r="E84" s="19"/>
      <c r="I84" s="20"/>
      <c r="J84" s="20"/>
    </row>
    <row r="85">
      <c r="A85" s="17"/>
      <c r="E85" s="19"/>
      <c r="I85" s="20"/>
      <c r="J85" s="20"/>
    </row>
    <row r="86">
      <c r="A86" s="17"/>
      <c r="E86" s="19"/>
      <c r="I86" s="20"/>
      <c r="J86" s="20"/>
    </row>
    <row r="87">
      <c r="A87" s="17"/>
      <c r="E87" s="19"/>
      <c r="I87" s="20"/>
      <c r="J87" s="20"/>
    </row>
    <row r="88">
      <c r="A88" s="17"/>
      <c r="E88" s="19"/>
      <c r="I88" s="20"/>
      <c r="J88" s="20"/>
    </row>
    <row r="89">
      <c r="A89" s="17"/>
      <c r="E89" s="19"/>
      <c r="I89" s="20"/>
      <c r="J89" s="20"/>
    </row>
    <row r="90">
      <c r="A90" s="17"/>
      <c r="E90" s="19"/>
      <c r="I90" s="20"/>
      <c r="J90" s="20"/>
    </row>
    <row r="91">
      <c r="A91" s="17"/>
      <c r="E91" s="19"/>
      <c r="I91" s="20"/>
      <c r="J91" s="20"/>
    </row>
    <row r="92">
      <c r="A92" s="17"/>
      <c r="E92" s="19"/>
      <c r="I92" s="20"/>
      <c r="J92" s="20"/>
    </row>
    <row r="93">
      <c r="A93" s="17"/>
      <c r="E93" s="19"/>
      <c r="I93" s="20"/>
      <c r="J93" s="20"/>
    </row>
    <row r="94">
      <c r="A94" s="17"/>
      <c r="E94" s="19"/>
      <c r="I94" s="20"/>
      <c r="J94" s="20"/>
    </row>
    <row r="95">
      <c r="A95" s="17"/>
      <c r="E95" s="19"/>
      <c r="I95" s="20"/>
      <c r="J95" s="20"/>
    </row>
    <row r="96">
      <c r="A96" s="17"/>
      <c r="E96" s="19"/>
      <c r="I96" s="20"/>
      <c r="J96" s="20"/>
    </row>
    <row r="97">
      <c r="A97" s="17"/>
      <c r="E97" s="19"/>
      <c r="I97" s="20"/>
      <c r="J97" s="20"/>
    </row>
    <row r="98">
      <c r="A98" s="17"/>
      <c r="E98" s="19"/>
      <c r="I98" s="20"/>
      <c r="J98" s="20"/>
    </row>
    <row r="99">
      <c r="A99" s="17"/>
      <c r="E99" s="19"/>
      <c r="I99" s="20"/>
      <c r="J99" s="20"/>
    </row>
    <row r="100">
      <c r="A100" s="17"/>
      <c r="E100" s="19"/>
      <c r="I100" s="20"/>
      <c r="J100" s="20"/>
    </row>
    <row r="101">
      <c r="A101" s="17"/>
      <c r="E101" s="19"/>
      <c r="I101" s="20"/>
      <c r="J101" s="20"/>
    </row>
    <row r="102">
      <c r="A102" s="17"/>
      <c r="E102" s="19"/>
      <c r="I102" s="20"/>
      <c r="J102" s="20"/>
    </row>
    <row r="103">
      <c r="A103" s="17"/>
      <c r="E103" s="19"/>
      <c r="I103" s="20"/>
      <c r="J103" s="20"/>
    </row>
    <row r="104">
      <c r="A104" s="17"/>
      <c r="E104" s="19"/>
      <c r="I104" s="20"/>
      <c r="J104" s="20"/>
    </row>
    <row r="105">
      <c r="A105" s="17"/>
      <c r="E105" s="19"/>
      <c r="I105" s="20"/>
      <c r="J105" s="20"/>
    </row>
    <row r="106">
      <c r="A106" s="17"/>
      <c r="E106" s="19"/>
      <c r="I106" s="20"/>
      <c r="J106" s="20"/>
    </row>
    <row r="107">
      <c r="A107" s="17"/>
      <c r="E107" s="19"/>
      <c r="I107" s="20"/>
      <c r="J107" s="20"/>
    </row>
    <row r="108">
      <c r="A108" s="17"/>
      <c r="E108" s="19"/>
      <c r="I108" s="20"/>
      <c r="J108" s="20"/>
    </row>
    <row r="109">
      <c r="A109" s="17"/>
      <c r="E109" s="19"/>
      <c r="I109" s="20"/>
      <c r="J109" s="20"/>
    </row>
    <row r="110">
      <c r="A110" s="17"/>
      <c r="E110" s="19"/>
      <c r="I110" s="20"/>
      <c r="J110" s="20"/>
    </row>
    <row r="111">
      <c r="A111" s="17"/>
      <c r="E111" s="19"/>
      <c r="I111" s="20"/>
      <c r="J111" s="20"/>
    </row>
    <row r="112">
      <c r="A112" s="17"/>
      <c r="E112" s="19"/>
      <c r="I112" s="20"/>
      <c r="J112" s="20"/>
    </row>
    <row r="113">
      <c r="A113" s="17"/>
      <c r="E113" s="19"/>
      <c r="I113" s="20"/>
      <c r="J113" s="20"/>
    </row>
    <row r="114">
      <c r="A114" s="17"/>
      <c r="E114" s="19"/>
      <c r="I114" s="20"/>
      <c r="J114" s="20"/>
    </row>
    <row r="115">
      <c r="A115" s="17"/>
      <c r="E115" s="19"/>
      <c r="I115" s="20"/>
      <c r="J115" s="20"/>
    </row>
    <row r="116">
      <c r="A116" s="17"/>
      <c r="E116" s="19"/>
      <c r="I116" s="20"/>
      <c r="J116" s="20"/>
    </row>
    <row r="117">
      <c r="A117" s="17"/>
      <c r="E117" s="19"/>
      <c r="I117" s="20"/>
      <c r="J117" s="20"/>
    </row>
    <row r="118">
      <c r="A118" s="17"/>
      <c r="E118" s="19"/>
      <c r="I118" s="20"/>
      <c r="J118" s="20"/>
    </row>
    <row r="119">
      <c r="A119" s="17"/>
      <c r="E119" s="19"/>
      <c r="I119" s="20"/>
      <c r="J119" s="20"/>
    </row>
    <row r="120">
      <c r="A120" s="17"/>
      <c r="E120" s="19"/>
      <c r="I120" s="20"/>
      <c r="J120" s="20"/>
    </row>
    <row r="121">
      <c r="A121" s="17"/>
      <c r="E121" s="19"/>
      <c r="I121" s="20"/>
      <c r="J121" s="20"/>
    </row>
    <row r="122">
      <c r="A122" s="17"/>
      <c r="E122" s="19"/>
      <c r="I122" s="20"/>
      <c r="J122" s="20"/>
    </row>
    <row r="123">
      <c r="A123" s="17"/>
      <c r="E123" s="19"/>
      <c r="I123" s="20"/>
      <c r="J123" s="20"/>
    </row>
    <row r="124">
      <c r="A124" s="17"/>
      <c r="E124" s="19"/>
      <c r="I124" s="20"/>
      <c r="J124" s="20"/>
    </row>
    <row r="125">
      <c r="A125" s="17"/>
      <c r="E125" s="19"/>
      <c r="I125" s="20"/>
      <c r="J125" s="20"/>
    </row>
    <row r="126">
      <c r="A126" s="17"/>
      <c r="E126" s="19"/>
      <c r="I126" s="20"/>
      <c r="J126" s="20"/>
    </row>
    <row r="127">
      <c r="A127" s="17"/>
      <c r="E127" s="19"/>
      <c r="I127" s="20"/>
      <c r="J127" s="20"/>
    </row>
    <row r="128">
      <c r="A128" s="17"/>
      <c r="E128" s="19"/>
      <c r="I128" s="20"/>
      <c r="J128" s="20"/>
    </row>
    <row r="129">
      <c r="A129" s="17"/>
      <c r="E129" s="19"/>
      <c r="I129" s="20"/>
      <c r="J129" s="20"/>
    </row>
    <row r="130">
      <c r="A130" s="17"/>
      <c r="E130" s="19"/>
      <c r="I130" s="20"/>
      <c r="J130" s="20"/>
    </row>
    <row r="131">
      <c r="A131" s="17"/>
      <c r="E131" s="19"/>
      <c r="I131" s="20"/>
      <c r="J131" s="20"/>
    </row>
    <row r="132">
      <c r="A132" s="17"/>
      <c r="E132" s="19"/>
      <c r="I132" s="20"/>
      <c r="J132" s="20"/>
    </row>
    <row r="133">
      <c r="A133" s="17"/>
      <c r="E133" s="19"/>
      <c r="I133" s="20"/>
      <c r="J133" s="20"/>
    </row>
    <row r="134">
      <c r="A134" s="17"/>
      <c r="E134" s="19"/>
      <c r="I134" s="20"/>
      <c r="J134" s="20"/>
    </row>
    <row r="135">
      <c r="A135" s="17"/>
      <c r="E135" s="19"/>
      <c r="I135" s="20"/>
      <c r="J135" s="20"/>
    </row>
    <row r="136">
      <c r="A136" s="17"/>
      <c r="E136" s="19"/>
      <c r="I136" s="20"/>
      <c r="J136" s="20"/>
    </row>
    <row r="137">
      <c r="A137" s="17"/>
      <c r="E137" s="19"/>
      <c r="I137" s="20"/>
      <c r="J137" s="20"/>
    </row>
    <row r="138">
      <c r="A138" s="17"/>
      <c r="E138" s="19"/>
      <c r="I138" s="20"/>
      <c r="J138" s="20"/>
    </row>
    <row r="139">
      <c r="A139" s="17"/>
      <c r="E139" s="19"/>
      <c r="I139" s="20"/>
      <c r="J139" s="20"/>
    </row>
    <row r="140">
      <c r="A140" s="17"/>
      <c r="E140" s="19"/>
      <c r="I140" s="20"/>
      <c r="J140" s="20"/>
    </row>
    <row r="141">
      <c r="A141" s="17"/>
      <c r="E141" s="19"/>
      <c r="I141" s="20"/>
      <c r="J141" s="20"/>
    </row>
    <row r="142">
      <c r="A142" s="17"/>
      <c r="E142" s="19"/>
      <c r="I142" s="20"/>
      <c r="J142" s="20"/>
    </row>
    <row r="143">
      <c r="A143" s="17"/>
      <c r="E143" s="19"/>
      <c r="I143" s="20"/>
      <c r="J143" s="20"/>
    </row>
    <row r="144">
      <c r="A144" s="17"/>
      <c r="E144" s="19"/>
      <c r="I144" s="20"/>
      <c r="J144" s="20"/>
    </row>
    <row r="145">
      <c r="A145" s="17"/>
      <c r="E145" s="19"/>
      <c r="I145" s="20"/>
      <c r="J145" s="20"/>
    </row>
    <row r="146">
      <c r="A146" s="17"/>
      <c r="E146" s="19"/>
      <c r="I146" s="20"/>
      <c r="J146" s="20"/>
    </row>
    <row r="147">
      <c r="A147" s="17"/>
      <c r="E147" s="19"/>
      <c r="I147" s="20"/>
      <c r="J147" s="20"/>
    </row>
    <row r="148">
      <c r="A148" s="17"/>
      <c r="E148" s="19"/>
      <c r="I148" s="20"/>
      <c r="J148" s="20"/>
    </row>
    <row r="149">
      <c r="A149" s="17"/>
      <c r="E149" s="19"/>
      <c r="I149" s="20"/>
      <c r="J149" s="20"/>
    </row>
    <row r="150">
      <c r="A150" s="17"/>
      <c r="E150" s="19"/>
      <c r="I150" s="20"/>
      <c r="J150" s="20"/>
    </row>
    <row r="151">
      <c r="A151" s="17"/>
      <c r="E151" s="19"/>
      <c r="I151" s="20"/>
      <c r="J151" s="20"/>
    </row>
    <row r="152">
      <c r="A152" s="17"/>
      <c r="E152" s="19"/>
      <c r="I152" s="20"/>
      <c r="J152" s="20"/>
    </row>
    <row r="153">
      <c r="A153" s="17"/>
      <c r="E153" s="19"/>
      <c r="I153" s="20"/>
      <c r="J153" s="20"/>
    </row>
    <row r="154">
      <c r="A154" s="17"/>
      <c r="E154" s="19"/>
      <c r="I154" s="20"/>
      <c r="J154" s="20"/>
    </row>
    <row r="155">
      <c r="A155" s="17"/>
      <c r="E155" s="19"/>
      <c r="I155" s="20"/>
      <c r="J155" s="20"/>
    </row>
    <row r="156">
      <c r="A156" s="17"/>
      <c r="E156" s="19"/>
      <c r="I156" s="20"/>
      <c r="J156" s="20"/>
    </row>
    <row r="157">
      <c r="A157" s="17"/>
      <c r="E157" s="19"/>
      <c r="I157" s="20"/>
      <c r="J157" s="20"/>
    </row>
    <row r="158">
      <c r="A158" s="17"/>
      <c r="E158" s="19"/>
      <c r="I158" s="20"/>
      <c r="J158" s="20"/>
    </row>
    <row r="159">
      <c r="A159" s="17"/>
      <c r="E159" s="19"/>
      <c r="I159" s="20"/>
      <c r="J159" s="20"/>
    </row>
    <row r="160">
      <c r="A160" s="17"/>
      <c r="E160" s="19"/>
      <c r="I160" s="20"/>
      <c r="J160" s="20"/>
    </row>
    <row r="161">
      <c r="A161" s="17"/>
      <c r="E161" s="19"/>
      <c r="I161" s="20"/>
      <c r="J161" s="20"/>
    </row>
    <row r="162">
      <c r="A162" s="17"/>
      <c r="E162" s="19"/>
      <c r="I162" s="20"/>
      <c r="J162" s="20"/>
    </row>
    <row r="163">
      <c r="A163" s="17"/>
      <c r="E163" s="19"/>
      <c r="I163" s="20"/>
      <c r="J163" s="20"/>
    </row>
    <row r="164">
      <c r="A164" s="17"/>
      <c r="E164" s="19"/>
      <c r="I164" s="20"/>
      <c r="J164" s="20"/>
    </row>
    <row r="165">
      <c r="A165" s="17"/>
      <c r="E165" s="19"/>
      <c r="I165" s="20"/>
      <c r="J165" s="20"/>
    </row>
    <row r="166">
      <c r="A166" s="17"/>
      <c r="E166" s="19"/>
      <c r="I166" s="20"/>
      <c r="J166" s="20"/>
    </row>
    <row r="167">
      <c r="A167" s="17"/>
      <c r="E167" s="19"/>
      <c r="I167" s="20"/>
      <c r="J167" s="20"/>
    </row>
    <row r="168">
      <c r="A168" s="17"/>
      <c r="E168" s="19"/>
      <c r="I168" s="20"/>
      <c r="J168" s="20"/>
    </row>
    <row r="169">
      <c r="A169" s="17"/>
      <c r="E169" s="19"/>
      <c r="I169" s="20"/>
      <c r="J169" s="20"/>
    </row>
    <row r="170">
      <c r="A170" s="17"/>
      <c r="E170" s="19"/>
      <c r="I170" s="20"/>
      <c r="J170" s="20"/>
    </row>
    <row r="171">
      <c r="A171" s="17"/>
      <c r="E171" s="19"/>
      <c r="I171" s="20"/>
      <c r="J171" s="20"/>
    </row>
    <row r="172">
      <c r="A172" s="17"/>
      <c r="E172" s="19"/>
      <c r="I172" s="20"/>
      <c r="J172" s="20"/>
    </row>
    <row r="173">
      <c r="A173" s="17"/>
      <c r="E173" s="19"/>
      <c r="I173" s="20"/>
      <c r="J173" s="20"/>
    </row>
    <row r="174">
      <c r="A174" s="17"/>
      <c r="E174" s="19"/>
      <c r="I174" s="20"/>
      <c r="J174" s="20"/>
    </row>
    <row r="175">
      <c r="A175" s="17"/>
      <c r="E175" s="19"/>
      <c r="I175" s="20"/>
      <c r="J175" s="20"/>
    </row>
    <row r="176">
      <c r="A176" s="17"/>
      <c r="E176" s="19"/>
      <c r="I176" s="20"/>
      <c r="J176" s="20"/>
    </row>
    <row r="177">
      <c r="A177" s="17"/>
      <c r="E177" s="19"/>
      <c r="I177" s="20"/>
      <c r="J177" s="20"/>
    </row>
    <row r="178">
      <c r="A178" s="17"/>
      <c r="E178" s="19"/>
      <c r="I178" s="20"/>
      <c r="J178" s="20"/>
    </row>
    <row r="179">
      <c r="A179" s="17"/>
      <c r="E179" s="19"/>
      <c r="I179" s="20"/>
      <c r="J179" s="20"/>
    </row>
    <row r="180">
      <c r="A180" s="17"/>
      <c r="E180" s="19"/>
      <c r="I180" s="20"/>
      <c r="J180" s="20"/>
    </row>
    <row r="181">
      <c r="A181" s="17"/>
      <c r="E181" s="19"/>
      <c r="I181" s="20"/>
      <c r="J181" s="20"/>
    </row>
    <row r="182">
      <c r="A182" s="17"/>
      <c r="E182" s="19"/>
      <c r="I182" s="20"/>
      <c r="J182" s="20"/>
    </row>
    <row r="183">
      <c r="A183" s="17"/>
      <c r="E183" s="19"/>
      <c r="I183" s="20"/>
      <c r="J183" s="20"/>
    </row>
    <row r="184">
      <c r="A184" s="17"/>
      <c r="E184" s="19"/>
      <c r="I184" s="20"/>
      <c r="J184" s="20"/>
    </row>
    <row r="185">
      <c r="A185" s="17"/>
      <c r="E185" s="19"/>
      <c r="I185" s="20"/>
      <c r="J185" s="20"/>
    </row>
    <row r="186">
      <c r="A186" s="17"/>
      <c r="E186" s="19"/>
      <c r="I186" s="20"/>
      <c r="J186" s="20"/>
    </row>
    <row r="187">
      <c r="A187" s="17"/>
      <c r="E187" s="19"/>
      <c r="I187" s="20"/>
      <c r="J187" s="20"/>
    </row>
    <row r="188">
      <c r="A188" s="17"/>
      <c r="E188" s="19"/>
      <c r="I188" s="20"/>
      <c r="J188" s="20"/>
    </row>
    <row r="189">
      <c r="A189" s="17"/>
      <c r="E189" s="19"/>
      <c r="I189" s="20"/>
      <c r="J189" s="20"/>
    </row>
    <row r="190">
      <c r="A190" s="17"/>
      <c r="E190" s="19"/>
      <c r="I190" s="20"/>
      <c r="J190" s="20"/>
    </row>
    <row r="191">
      <c r="A191" s="17"/>
      <c r="E191" s="19"/>
      <c r="I191" s="20"/>
      <c r="J191" s="20"/>
    </row>
    <row r="192">
      <c r="A192" s="17"/>
      <c r="E192" s="19"/>
      <c r="I192" s="20"/>
      <c r="J192" s="20"/>
    </row>
    <row r="193">
      <c r="A193" s="17"/>
      <c r="E193" s="19"/>
      <c r="I193" s="20"/>
      <c r="J193" s="20"/>
    </row>
    <row r="194">
      <c r="A194" s="17"/>
      <c r="E194" s="19"/>
      <c r="I194" s="20"/>
      <c r="J194" s="20"/>
    </row>
    <row r="195">
      <c r="A195" s="17"/>
      <c r="E195" s="19"/>
      <c r="I195" s="20"/>
      <c r="J195" s="20"/>
    </row>
    <row r="196">
      <c r="A196" s="17"/>
      <c r="E196" s="19"/>
      <c r="I196" s="20"/>
      <c r="J196" s="20"/>
    </row>
    <row r="197">
      <c r="A197" s="17"/>
      <c r="E197" s="19"/>
      <c r="I197" s="20"/>
      <c r="J197" s="20"/>
    </row>
    <row r="198">
      <c r="A198" s="17"/>
      <c r="E198" s="19"/>
      <c r="I198" s="20"/>
      <c r="J198" s="20"/>
    </row>
    <row r="199">
      <c r="A199" s="17"/>
      <c r="E199" s="19"/>
      <c r="I199" s="20"/>
      <c r="J199" s="20"/>
    </row>
    <row r="200">
      <c r="A200" s="17"/>
      <c r="E200" s="19"/>
      <c r="I200" s="20"/>
      <c r="J200" s="20"/>
    </row>
    <row r="201">
      <c r="A201" s="17"/>
      <c r="E201" s="19"/>
      <c r="I201" s="20"/>
      <c r="J201" s="20"/>
    </row>
    <row r="202">
      <c r="A202" s="17"/>
      <c r="E202" s="19"/>
      <c r="I202" s="20"/>
      <c r="J202" s="20"/>
    </row>
    <row r="203">
      <c r="A203" s="17"/>
      <c r="E203" s="19"/>
      <c r="I203" s="20"/>
      <c r="J203" s="20"/>
    </row>
    <row r="204">
      <c r="A204" s="17"/>
      <c r="E204" s="19"/>
      <c r="I204" s="20"/>
      <c r="J204" s="20"/>
    </row>
    <row r="205">
      <c r="A205" s="17"/>
      <c r="E205" s="19"/>
      <c r="I205" s="20"/>
      <c r="J205" s="20"/>
    </row>
    <row r="206">
      <c r="A206" s="17"/>
      <c r="E206" s="19"/>
      <c r="I206" s="20"/>
      <c r="J206" s="20"/>
    </row>
    <row r="207">
      <c r="A207" s="17"/>
      <c r="E207" s="19"/>
      <c r="I207" s="20"/>
      <c r="J207" s="20"/>
    </row>
    <row r="208">
      <c r="A208" s="17"/>
      <c r="E208" s="19"/>
      <c r="I208" s="20"/>
      <c r="J208" s="20"/>
    </row>
    <row r="209">
      <c r="A209" s="17"/>
      <c r="E209" s="19"/>
      <c r="I209" s="20"/>
      <c r="J209" s="20"/>
    </row>
    <row r="210">
      <c r="A210" s="17"/>
      <c r="E210" s="19"/>
      <c r="I210" s="20"/>
      <c r="J210" s="20"/>
    </row>
    <row r="211">
      <c r="A211" s="17"/>
      <c r="E211" s="19"/>
      <c r="I211" s="20"/>
      <c r="J211" s="20"/>
    </row>
    <row r="212">
      <c r="A212" s="17"/>
      <c r="E212" s="19"/>
      <c r="I212" s="20"/>
      <c r="J212" s="20"/>
    </row>
    <row r="213">
      <c r="A213" s="17"/>
      <c r="E213" s="19"/>
      <c r="I213" s="20"/>
      <c r="J213" s="20"/>
    </row>
    <row r="214">
      <c r="A214" s="17"/>
      <c r="E214" s="19"/>
      <c r="I214" s="20"/>
      <c r="J214" s="20"/>
    </row>
    <row r="215">
      <c r="A215" s="17"/>
      <c r="E215" s="19"/>
      <c r="I215" s="20"/>
      <c r="J215" s="20"/>
    </row>
    <row r="216">
      <c r="A216" s="17"/>
      <c r="E216" s="19"/>
      <c r="I216" s="20"/>
      <c r="J216" s="20"/>
    </row>
    <row r="217">
      <c r="A217" s="17"/>
      <c r="E217" s="19"/>
      <c r="I217" s="20"/>
      <c r="J217" s="20"/>
    </row>
    <row r="218">
      <c r="A218" s="17"/>
      <c r="E218" s="19"/>
      <c r="I218" s="20"/>
      <c r="J218" s="20"/>
    </row>
    <row r="219">
      <c r="A219" s="17"/>
      <c r="E219" s="19"/>
      <c r="I219" s="20"/>
      <c r="J219" s="20"/>
    </row>
    <row r="220">
      <c r="A220" s="17"/>
      <c r="E220" s="19"/>
      <c r="I220" s="20"/>
      <c r="J220" s="20"/>
    </row>
    <row r="221">
      <c r="A221" s="17"/>
      <c r="E221" s="19"/>
      <c r="I221" s="20"/>
      <c r="J221" s="20"/>
    </row>
    <row r="222">
      <c r="A222" s="17"/>
      <c r="E222" s="19"/>
      <c r="I222" s="20"/>
      <c r="J222" s="20"/>
    </row>
    <row r="223">
      <c r="A223" s="17"/>
      <c r="E223" s="19"/>
      <c r="I223" s="20"/>
      <c r="J223" s="20"/>
    </row>
    <row r="224">
      <c r="A224" s="17"/>
      <c r="E224" s="19"/>
      <c r="I224" s="20"/>
      <c r="J224" s="20"/>
    </row>
    <row r="225">
      <c r="A225" s="17"/>
      <c r="E225" s="19"/>
      <c r="I225" s="20"/>
      <c r="J225" s="20"/>
    </row>
    <row r="226">
      <c r="A226" s="17"/>
      <c r="E226" s="19"/>
      <c r="I226" s="20"/>
      <c r="J226" s="20"/>
    </row>
    <row r="227">
      <c r="A227" s="17"/>
      <c r="E227" s="19"/>
      <c r="I227" s="20"/>
      <c r="J227" s="20"/>
    </row>
    <row r="228">
      <c r="A228" s="17"/>
      <c r="E228" s="19"/>
      <c r="I228" s="20"/>
      <c r="J228" s="20"/>
    </row>
    <row r="229">
      <c r="A229" s="17"/>
      <c r="E229" s="19"/>
      <c r="I229" s="20"/>
      <c r="J229" s="20"/>
    </row>
    <row r="230">
      <c r="A230" s="17"/>
      <c r="E230" s="19"/>
      <c r="I230" s="20"/>
      <c r="J230" s="20"/>
    </row>
    <row r="231">
      <c r="A231" s="17"/>
      <c r="E231" s="19"/>
      <c r="I231" s="20"/>
      <c r="J231" s="20"/>
    </row>
    <row r="232">
      <c r="A232" s="17"/>
      <c r="E232" s="19"/>
      <c r="I232" s="20"/>
      <c r="J232" s="20"/>
    </row>
    <row r="233">
      <c r="A233" s="17"/>
      <c r="E233" s="19"/>
      <c r="I233" s="20"/>
      <c r="J233" s="20"/>
    </row>
    <row r="234">
      <c r="A234" s="17"/>
      <c r="E234" s="19"/>
      <c r="I234" s="20"/>
      <c r="J234" s="20"/>
    </row>
    <row r="235">
      <c r="A235" s="17"/>
      <c r="E235" s="19"/>
      <c r="I235" s="20"/>
      <c r="J235" s="20"/>
    </row>
    <row r="236">
      <c r="A236" s="17"/>
      <c r="E236" s="19"/>
      <c r="I236" s="20"/>
      <c r="J236" s="20"/>
    </row>
    <row r="237">
      <c r="A237" s="17"/>
      <c r="E237" s="19"/>
      <c r="I237" s="20"/>
      <c r="J237" s="20"/>
    </row>
    <row r="238">
      <c r="A238" s="17"/>
      <c r="E238" s="19"/>
      <c r="I238" s="20"/>
      <c r="J238" s="20"/>
    </row>
    <row r="239">
      <c r="A239" s="17"/>
      <c r="E239" s="19"/>
      <c r="I239" s="20"/>
      <c r="J239" s="20"/>
    </row>
    <row r="240">
      <c r="A240" s="17"/>
      <c r="E240" s="19"/>
      <c r="I240" s="20"/>
      <c r="J240" s="20"/>
    </row>
    <row r="241">
      <c r="A241" s="17"/>
      <c r="E241" s="19"/>
      <c r="I241" s="20"/>
      <c r="J241" s="20"/>
    </row>
    <row r="242">
      <c r="A242" s="17"/>
      <c r="E242" s="19"/>
      <c r="I242" s="20"/>
      <c r="J242" s="20"/>
    </row>
    <row r="243">
      <c r="A243" s="17"/>
      <c r="E243" s="19"/>
      <c r="I243" s="20"/>
      <c r="J243" s="20"/>
    </row>
    <row r="244">
      <c r="A244" s="17"/>
      <c r="E244" s="19"/>
      <c r="I244" s="20"/>
      <c r="J244" s="20"/>
    </row>
    <row r="245">
      <c r="A245" s="17"/>
      <c r="E245" s="19"/>
      <c r="I245" s="20"/>
      <c r="J245" s="20"/>
    </row>
    <row r="246">
      <c r="A246" s="17"/>
      <c r="E246" s="19"/>
      <c r="I246" s="20"/>
      <c r="J246" s="20"/>
    </row>
    <row r="247">
      <c r="A247" s="17"/>
      <c r="E247" s="19"/>
      <c r="I247" s="20"/>
      <c r="J247" s="20"/>
    </row>
    <row r="248">
      <c r="A248" s="17"/>
      <c r="E248" s="19"/>
      <c r="I248" s="20"/>
      <c r="J248" s="20"/>
    </row>
    <row r="249">
      <c r="A249" s="17"/>
      <c r="E249" s="19"/>
      <c r="I249" s="20"/>
      <c r="J249" s="20"/>
    </row>
    <row r="250">
      <c r="A250" s="17"/>
      <c r="E250" s="19"/>
      <c r="I250" s="20"/>
      <c r="J250" s="20"/>
    </row>
    <row r="251">
      <c r="A251" s="17"/>
      <c r="E251" s="19"/>
      <c r="I251" s="20"/>
      <c r="J251" s="20"/>
    </row>
    <row r="252">
      <c r="A252" s="17"/>
      <c r="E252" s="19"/>
      <c r="I252" s="20"/>
      <c r="J252" s="20"/>
    </row>
    <row r="253">
      <c r="A253" s="17"/>
      <c r="E253" s="19"/>
      <c r="I253" s="20"/>
      <c r="J253" s="20"/>
    </row>
    <row r="254">
      <c r="A254" s="17"/>
      <c r="E254" s="19"/>
      <c r="I254" s="20"/>
      <c r="J254" s="20"/>
    </row>
    <row r="255">
      <c r="A255" s="17"/>
      <c r="E255" s="19"/>
      <c r="I255" s="20"/>
      <c r="J255" s="20"/>
    </row>
    <row r="256">
      <c r="A256" s="17"/>
      <c r="E256" s="19"/>
      <c r="I256" s="20"/>
      <c r="J256" s="20"/>
    </row>
    <row r="257">
      <c r="A257" s="17"/>
      <c r="E257" s="19"/>
      <c r="I257" s="20"/>
      <c r="J257" s="20"/>
    </row>
    <row r="258">
      <c r="A258" s="17"/>
      <c r="E258" s="19"/>
      <c r="I258" s="20"/>
      <c r="J258" s="20"/>
    </row>
    <row r="259">
      <c r="A259" s="17"/>
      <c r="E259" s="19"/>
      <c r="I259" s="20"/>
      <c r="J259" s="20"/>
    </row>
    <row r="260">
      <c r="A260" s="17"/>
      <c r="E260" s="19"/>
      <c r="I260" s="20"/>
      <c r="J260" s="20"/>
    </row>
    <row r="261">
      <c r="A261" s="17"/>
      <c r="E261" s="19"/>
      <c r="I261" s="20"/>
      <c r="J261" s="20"/>
    </row>
    <row r="262">
      <c r="A262" s="17"/>
      <c r="E262" s="19"/>
      <c r="I262" s="20"/>
      <c r="J262" s="20"/>
    </row>
    <row r="263">
      <c r="A263" s="17"/>
      <c r="E263" s="19"/>
      <c r="I263" s="20"/>
      <c r="J263" s="20"/>
    </row>
    <row r="264">
      <c r="A264" s="17"/>
      <c r="E264" s="19"/>
      <c r="I264" s="20"/>
      <c r="J264" s="20"/>
    </row>
    <row r="265">
      <c r="A265" s="17"/>
      <c r="E265" s="19"/>
      <c r="I265" s="20"/>
      <c r="J265" s="20"/>
    </row>
    <row r="266">
      <c r="A266" s="17"/>
      <c r="E266" s="19"/>
      <c r="I266" s="20"/>
      <c r="J266" s="20"/>
    </row>
    <row r="267">
      <c r="A267" s="17"/>
      <c r="E267" s="19"/>
      <c r="I267" s="20"/>
      <c r="J267" s="20"/>
    </row>
    <row r="268">
      <c r="A268" s="17"/>
      <c r="E268" s="19"/>
      <c r="I268" s="20"/>
      <c r="J268" s="20"/>
    </row>
    <row r="269">
      <c r="A269" s="17"/>
      <c r="E269" s="19"/>
      <c r="I269" s="20"/>
      <c r="J269" s="20"/>
    </row>
    <row r="270">
      <c r="A270" s="17"/>
      <c r="E270" s="19"/>
      <c r="I270" s="20"/>
      <c r="J270" s="20"/>
    </row>
    <row r="271">
      <c r="A271" s="17"/>
      <c r="E271" s="19"/>
      <c r="I271" s="20"/>
      <c r="J271" s="20"/>
    </row>
    <row r="272">
      <c r="A272" s="17"/>
      <c r="E272" s="19"/>
      <c r="I272" s="20"/>
      <c r="J272" s="20"/>
    </row>
    <row r="273">
      <c r="A273" s="17"/>
      <c r="E273" s="19"/>
      <c r="I273" s="20"/>
      <c r="J273" s="20"/>
    </row>
    <row r="274">
      <c r="A274" s="17"/>
      <c r="E274" s="19"/>
      <c r="I274" s="20"/>
      <c r="J274" s="20"/>
    </row>
    <row r="275">
      <c r="A275" s="17"/>
      <c r="E275" s="19"/>
      <c r="I275" s="20"/>
      <c r="J275" s="20"/>
    </row>
    <row r="276">
      <c r="A276" s="17"/>
      <c r="E276" s="19"/>
      <c r="I276" s="20"/>
      <c r="J276" s="20"/>
    </row>
    <row r="277">
      <c r="A277" s="17"/>
      <c r="E277" s="19"/>
      <c r="I277" s="20"/>
      <c r="J277" s="20"/>
    </row>
    <row r="278">
      <c r="A278" s="17"/>
      <c r="E278" s="19"/>
      <c r="I278" s="20"/>
      <c r="J278" s="20"/>
    </row>
    <row r="279">
      <c r="A279" s="17"/>
      <c r="E279" s="19"/>
      <c r="I279" s="20"/>
      <c r="J279" s="20"/>
    </row>
    <row r="280">
      <c r="A280" s="17"/>
      <c r="E280" s="19"/>
      <c r="I280" s="20"/>
      <c r="J280" s="20"/>
    </row>
    <row r="281">
      <c r="A281" s="17"/>
      <c r="E281" s="19"/>
      <c r="I281" s="20"/>
      <c r="J281" s="20"/>
    </row>
    <row r="282">
      <c r="A282" s="17"/>
      <c r="E282" s="19"/>
      <c r="I282" s="20"/>
      <c r="J282" s="20"/>
    </row>
    <row r="283">
      <c r="A283" s="17"/>
      <c r="E283" s="19"/>
      <c r="I283" s="20"/>
      <c r="J283" s="20"/>
    </row>
    <row r="284">
      <c r="A284" s="17"/>
      <c r="E284" s="19"/>
      <c r="I284" s="20"/>
      <c r="J284" s="20"/>
    </row>
    <row r="285">
      <c r="A285" s="17"/>
      <c r="E285" s="19"/>
      <c r="I285" s="20"/>
      <c r="J285" s="20"/>
    </row>
    <row r="286">
      <c r="A286" s="17"/>
      <c r="E286" s="19"/>
      <c r="I286" s="20"/>
      <c r="J286" s="20"/>
    </row>
    <row r="287">
      <c r="A287" s="17"/>
      <c r="E287" s="19"/>
      <c r="I287" s="20"/>
      <c r="J287" s="20"/>
    </row>
    <row r="288">
      <c r="A288" s="17"/>
      <c r="E288" s="19"/>
      <c r="I288" s="20"/>
      <c r="J288" s="20"/>
    </row>
    <row r="289">
      <c r="A289" s="17"/>
      <c r="E289" s="19"/>
      <c r="I289" s="20"/>
      <c r="J289" s="20"/>
    </row>
    <row r="290">
      <c r="A290" s="17"/>
      <c r="E290" s="19"/>
      <c r="I290" s="20"/>
      <c r="J290" s="20"/>
    </row>
    <row r="291">
      <c r="A291" s="17"/>
      <c r="E291" s="19"/>
      <c r="I291" s="20"/>
      <c r="J291" s="20"/>
    </row>
    <row r="292">
      <c r="A292" s="17"/>
      <c r="E292" s="19"/>
      <c r="I292" s="20"/>
      <c r="J292" s="20"/>
    </row>
    <row r="293">
      <c r="A293" s="17"/>
      <c r="E293" s="19"/>
      <c r="I293" s="20"/>
      <c r="J293" s="20"/>
    </row>
    <row r="294">
      <c r="A294" s="17"/>
      <c r="E294" s="19"/>
      <c r="I294" s="20"/>
      <c r="J294" s="20"/>
    </row>
    <row r="295">
      <c r="A295" s="17"/>
      <c r="E295" s="19"/>
      <c r="I295" s="20"/>
      <c r="J295" s="20"/>
    </row>
    <row r="296">
      <c r="A296" s="17"/>
      <c r="E296" s="19"/>
      <c r="I296" s="20"/>
      <c r="J296" s="20"/>
    </row>
    <row r="297">
      <c r="A297" s="17"/>
      <c r="E297" s="19"/>
      <c r="I297" s="20"/>
      <c r="J297" s="20"/>
    </row>
    <row r="298">
      <c r="A298" s="17"/>
      <c r="E298" s="19"/>
      <c r="I298" s="20"/>
      <c r="J298" s="20"/>
    </row>
    <row r="299">
      <c r="A299" s="17"/>
      <c r="E299" s="19"/>
      <c r="I299" s="20"/>
      <c r="J299" s="20"/>
    </row>
    <row r="300">
      <c r="A300" s="17"/>
      <c r="E300" s="19"/>
      <c r="I300" s="20"/>
      <c r="J300" s="20"/>
    </row>
    <row r="301">
      <c r="A301" s="17"/>
      <c r="E301" s="19"/>
      <c r="I301" s="20"/>
      <c r="J301" s="20"/>
    </row>
    <row r="302">
      <c r="A302" s="17"/>
      <c r="E302" s="19"/>
      <c r="I302" s="20"/>
      <c r="J302" s="20"/>
    </row>
    <row r="303">
      <c r="A303" s="17"/>
      <c r="E303" s="19"/>
      <c r="I303" s="20"/>
      <c r="J303" s="20"/>
    </row>
    <row r="304">
      <c r="A304" s="17"/>
      <c r="E304" s="19"/>
      <c r="I304" s="20"/>
      <c r="J304" s="20"/>
    </row>
    <row r="305">
      <c r="A305" s="17"/>
      <c r="E305" s="19"/>
      <c r="I305" s="20"/>
      <c r="J305" s="20"/>
    </row>
    <row r="306">
      <c r="A306" s="17"/>
      <c r="E306" s="19"/>
      <c r="I306" s="20"/>
      <c r="J306" s="20"/>
    </row>
    <row r="307">
      <c r="A307" s="17"/>
      <c r="E307" s="19"/>
      <c r="I307" s="20"/>
      <c r="J307" s="20"/>
    </row>
    <row r="308">
      <c r="A308" s="17"/>
      <c r="E308" s="19"/>
      <c r="I308" s="20"/>
      <c r="J308" s="20"/>
    </row>
    <row r="309">
      <c r="A309" s="17"/>
      <c r="E309" s="19"/>
      <c r="I309" s="20"/>
      <c r="J309" s="20"/>
    </row>
    <row r="310">
      <c r="A310" s="17"/>
      <c r="E310" s="19"/>
      <c r="I310" s="20"/>
      <c r="J310" s="20"/>
    </row>
    <row r="311">
      <c r="A311" s="17"/>
      <c r="E311" s="19"/>
      <c r="I311" s="20"/>
      <c r="J311" s="20"/>
    </row>
    <row r="312">
      <c r="A312" s="17"/>
      <c r="E312" s="19"/>
      <c r="I312" s="20"/>
      <c r="J312" s="20"/>
    </row>
    <row r="313">
      <c r="A313" s="17"/>
      <c r="E313" s="19"/>
      <c r="I313" s="20"/>
      <c r="J313" s="20"/>
    </row>
    <row r="314">
      <c r="A314" s="17"/>
      <c r="E314" s="19"/>
      <c r="I314" s="20"/>
      <c r="J314" s="20"/>
    </row>
    <row r="315">
      <c r="A315" s="17"/>
      <c r="E315" s="19"/>
      <c r="I315" s="20"/>
      <c r="J315" s="20"/>
    </row>
    <row r="316">
      <c r="A316" s="17"/>
      <c r="E316" s="19"/>
      <c r="I316" s="20"/>
      <c r="J316" s="20"/>
    </row>
    <row r="317">
      <c r="A317" s="17"/>
      <c r="E317" s="19"/>
      <c r="I317" s="20"/>
      <c r="J317" s="20"/>
    </row>
    <row r="318">
      <c r="A318" s="17"/>
      <c r="E318" s="19"/>
      <c r="I318" s="20"/>
      <c r="J318" s="20"/>
    </row>
    <row r="319">
      <c r="A319" s="17"/>
      <c r="E319" s="19"/>
      <c r="I319" s="20"/>
      <c r="J319" s="20"/>
    </row>
    <row r="320">
      <c r="A320" s="17"/>
      <c r="E320" s="19"/>
      <c r="I320" s="20"/>
      <c r="J320" s="20"/>
    </row>
    <row r="321">
      <c r="A321" s="17"/>
      <c r="E321" s="19"/>
      <c r="I321" s="20"/>
      <c r="J321" s="20"/>
    </row>
    <row r="322">
      <c r="A322" s="17"/>
      <c r="E322" s="19"/>
      <c r="I322" s="20"/>
      <c r="J322" s="20"/>
    </row>
    <row r="323">
      <c r="A323" s="17"/>
      <c r="E323" s="19"/>
      <c r="I323" s="20"/>
      <c r="J323" s="20"/>
    </row>
    <row r="324">
      <c r="A324" s="17"/>
      <c r="E324" s="19"/>
      <c r="I324" s="20"/>
      <c r="J324" s="20"/>
    </row>
    <row r="325">
      <c r="A325" s="17"/>
      <c r="E325" s="19"/>
      <c r="I325" s="20"/>
      <c r="J325" s="20"/>
    </row>
    <row r="326">
      <c r="A326" s="17"/>
      <c r="E326" s="19"/>
      <c r="I326" s="20"/>
      <c r="J326" s="20"/>
    </row>
    <row r="327">
      <c r="A327" s="17"/>
      <c r="E327" s="19"/>
      <c r="I327" s="20"/>
      <c r="J327" s="20"/>
    </row>
    <row r="328">
      <c r="A328" s="17"/>
      <c r="E328" s="19"/>
      <c r="I328" s="20"/>
      <c r="J328" s="20"/>
    </row>
    <row r="329">
      <c r="A329" s="17"/>
      <c r="E329" s="19"/>
      <c r="I329" s="20"/>
      <c r="J329" s="20"/>
    </row>
    <row r="330">
      <c r="A330" s="17"/>
      <c r="E330" s="19"/>
      <c r="I330" s="20"/>
      <c r="J330" s="20"/>
    </row>
    <row r="331">
      <c r="A331" s="17"/>
      <c r="E331" s="19"/>
      <c r="I331" s="20"/>
      <c r="J331" s="20"/>
    </row>
    <row r="332">
      <c r="A332" s="17"/>
      <c r="E332" s="19"/>
      <c r="I332" s="20"/>
      <c r="J332" s="20"/>
    </row>
    <row r="333">
      <c r="A333" s="17"/>
      <c r="E333" s="19"/>
      <c r="I333" s="20"/>
      <c r="J333" s="20"/>
    </row>
    <row r="334">
      <c r="A334" s="17"/>
      <c r="E334" s="19"/>
      <c r="I334" s="20"/>
      <c r="J334" s="20"/>
    </row>
    <row r="335">
      <c r="A335" s="17"/>
      <c r="E335" s="19"/>
      <c r="I335" s="20"/>
      <c r="J335" s="20"/>
    </row>
    <row r="336">
      <c r="A336" s="17"/>
      <c r="E336" s="19"/>
      <c r="I336" s="20"/>
      <c r="J336" s="20"/>
    </row>
    <row r="337">
      <c r="A337" s="17"/>
      <c r="E337" s="19"/>
      <c r="I337" s="20"/>
      <c r="J337" s="20"/>
    </row>
    <row r="338">
      <c r="A338" s="17"/>
      <c r="E338" s="19"/>
      <c r="I338" s="20"/>
      <c r="J338" s="20"/>
    </row>
    <row r="339">
      <c r="A339" s="17"/>
      <c r="E339" s="19"/>
      <c r="I339" s="20"/>
      <c r="J339" s="20"/>
    </row>
    <row r="340">
      <c r="A340" s="17"/>
      <c r="E340" s="19"/>
      <c r="I340" s="20"/>
      <c r="J340" s="20"/>
    </row>
    <row r="341">
      <c r="A341" s="17"/>
      <c r="E341" s="19"/>
      <c r="I341" s="20"/>
      <c r="J341" s="20"/>
    </row>
    <row r="342">
      <c r="A342" s="17"/>
      <c r="E342" s="19"/>
      <c r="I342" s="20"/>
      <c r="J342" s="20"/>
    </row>
    <row r="343">
      <c r="A343" s="17"/>
      <c r="E343" s="19"/>
      <c r="I343" s="20"/>
      <c r="J343" s="20"/>
    </row>
    <row r="344">
      <c r="A344" s="17"/>
      <c r="E344" s="19"/>
      <c r="I344" s="20"/>
      <c r="J344" s="20"/>
    </row>
    <row r="345">
      <c r="A345" s="17"/>
      <c r="E345" s="19"/>
      <c r="I345" s="20"/>
      <c r="J345" s="20"/>
    </row>
    <row r="346">
      <c r="A346" s="17"/>
      <c r="E346" s="19"/>
      <c r="I346" s="20"/>
      <c r="J346" s="20"/>
    </row>
    <row r="347">
      <c r="A347" s="17"/>
      <c r="E347" s="19"/>
      <c r="I347" s="20"/>
      <c r="J347" s="20"/>
    </row>
    <row r="348">
      <c r="A348" s="17"/>
      <c r="E348" s="19"/>
      <c r="I348" s="20"/>
      <c r="J348" s="20"/>
    </row>
    <row r="349">
      <c r="A349" s="17"/>
      <c r="E349" s="19"/>
      <c r="I349" s="20"/>
      <c r="J349" s="20"/>
    </row>
    <row r="350">
      <c r="A350" s="17"/>
      <c r="E350" s="19"/>
      <c r="I350" s="20"/>
      <c r="J350" s="20"/>
    </row>
    <row r="351">
      <c r="A351" s="17"/>
      <c r="E351" s="19"/>
      <c r="I351" s="20"/>
      <c r="J351" s="20"/>
    </row>
    <row r="352">
      <c r="A352" s="17"/>
      <c r="E352" s="19"/>
      <c r="I352" s="20"/>
      <c r="J352" s="20"/>
    </row>
    <row r="353">
      <c r="A353" s="17"/>
      <c r="E353" s="19"/>
      <c r="I353" s="20"/>
      <c r="J353" s="20"/>
    </row>
    <row r="354">
      <c r="A354" s="17"/>
      <c r="E354" s="19"/>
      <c r="I354" s="20"/>
      <c r="J354" s="20"/>
    </row>
    <row r="355">
      <c r="A355" s="17"/>
      <c r="E355" s="19"/>
      <c r="I355" s="20"/>
      <c r="J355" s="20"/>
    </row>
    <row r="356">
      <c r="A356" s="17"/>
      <c r="E356" s="19"/>
      <c r="I356" s="20"/>
      <c r="J356" s="20"/>
    </row>
    <row r="357">
      <c r="A357" s="17"/>
      <c r="E357" s="19"/>
      <c r="I357" s="20"/>
      <c r="J357" s="20"/>
    </row>
    <row r="358">
      <c r="A358" s="17"/>
      <c r="E358" s="19"/>
      <c r="I358" s="20"/>
      <c r="J358" s="20"/>
    </row>
    <row r="359">
      <c r="A359" s="17"/>
      <c r="E359" s="19"/>
      <c r="I359" s="20"/>
      <c r="J359" s="20"/>
    </row>
    <row r="360">
      <c r="A360" s="17"/>
      <c r="E360" s="19"/>
      <c r="I360" s="20"/>
      <c r="J360" s="20"/>
    </row>
    <row r="361">
      <c r="A361" s="17"/>
      <c r="E361" s="19"/>
      <c r="I361" s="20"/>
      <c r="J361" s="20"/>
    </row>
    <row r="362">
      <c r="A362" s="17"/>
      <c r="E362" s="19"/>
      <c r="I362" s="20"/>
      <c r="J362" s="20"/>
    </row>
    <row r="363">
      <c r="A363" s="17"/>
      <c r="E363" s="19"/>
      <c r="I363" s="20"/>
      <c r="J363" s="20"/>
    </row>
    <row r="364">
      <c r="A364" s="17"/>
      <c r="E364" s="19"/>
      <c r="I364" s="20"/>
      <c r="J364" s="20"/>
    </row>
    <row r="365">
      <c r="A365" s="17"/>
      <c r="E365" s="19"/>
      <c r="I365" s="20"/>
      <c r="J365" s="20"/>
    </row>
    <row r="366">
      <c r="A366" s="17"/>
      <c r="E366" s="19"/>
      <c r="I366" s="20"/>
      <c r="J366" s="20"/>
    </row>
    <row r="367">
      <c r="A367" s="17"/>
      <c r="E367" s="19"/>
      <c r="I367" s="20"/>
      <c r="J367" s="20"/>
    </row>
    <row r="368">
      <c r="A368" s="17"/>
      <c r="E368" s="19"/>
      <c r="I368" s="20"/>
      <c r="J368" s="20"/>
    </row>
    <row r="369">
      <c r="A369" s="17"/>
      <c r="E369" s="19"/>
      <c r="I369" s="20"/>
      <c r="J369" s="20"/>
    </row>
    <row r="370">
      <c r="A370" s="17"/>
      <c r="E370" s="19"/>
      <c r="I370" s="20"/>
      <c r="J370" s="20"/>
    </row>
    <row r="371">
      <c r="A371" s="17"/>
      <c r="E371" s="19"/>
      <c r="I371" s="20"/>
      <c r="J371" s="20"/>
    </row>
    <row r="372">
      <c r="A372" s="17"/>
      <c r="E372" s="19"/>
      <c r="I372" s="20"/>
      <c r="J372" s="20"/>
    </row>
    <row r="373">
      <c r="A373" s="17"/>
      <c r="E373" s="19"/>
      <c r="I373" s="20"/>
      <c r="J373" s="20"/>
    </row>
    <row r="374">
      <c r="A374" s="17"/>
      <c r="E374" s="19"/>
      <c r="I374" s="20"/>
      <c r="J374" s="20"/>
    </row>
    <row r="375">
      <c r="A375" s="17"/>
      <c r="E375" s="19"/>
      <c r="I375" s="20"/>
      <c r="J375" s="20"/>
    </row>
    <row r="376">
      <c r="A376" s="17"/>
      <c r="E376" s="19"/>
      <c r="I376" s="20"/>
      <c r="J376" s="20"/>
    </row>
    <row r="377">
      <c r="A377" s="17"/>
      <c r="E377" s="19"/>
      <c r="I377" s="20"/>
      <c r="J377" s="20"/>
    </row>
    <row r="378">
      <c r="A378" s="17"/>
      <c r="E378" s="19"/>
      <c r="I378" s="20"/>
      <c r="J378" s="20"/>
    </row>
    <row r="379">
      <c r="A379" s="17"/>
      <c r="E379" s="19"/>
      <c r="I379" s="20"/>
      <c r="J379" s="20"/>
    </row>
    <row r="380">
      <c r="A380" s="17"/>
      <c r="E380" s="19"/>
      <c r="I380" s="20"/>
      <c r="J380" s="20"/>
    </row>
    <row r="381">
      <c r="A381" s="17"/>
      <c r="E381" s="19"/>
      <c r="I381" s="20"/>
      <c r="J381" s="20"/>
    </row>
    <row r="382">
      <c r="A382" s="17"/>
      <c r="E382" s="19"/>
      <c r="I382" s="20"/>
      <c r="J382" s="20"/>
    </row>
    <row r="383">
      <c r="A383" s="17"/>
      <c r="E383" s="19"/>
      <c r="I383" s="20"/>
      <c r="J383" s="20"/>
    </row>
    <row r="384">
      <c r="A384" s="17"/>
      <c r="E384" s="19"/>
      <c r="I384" s="20"/>
      <c r="J384" s="20"/>
    </row>
    <row r="385">
      <c r="A385" s="17"/>
      <c r="E385" s="19"/>
      <c r="I385" s="20"/>
      <c r="J385" s="20"/>
    </row>
    <row r="386">
      <c r="A386" s="17"/>
      <c r="E386" s="19"/>
      <c r="I386" s="20"/>
      <c r="J386" s="20"/>
    </row>
    <row r="387">
      <c r="A387" s="17"/>
      <c r="E387" s="19"/>
      <c r="I387" s="20"/>
      <c r="J387" s="20"/>
    </row>
    <row r="388">
      <c r="A388" s="17"/>
      <c r="E388" s="19"/>
      <c r="I388" s="20"/>
      <c r="J388" s="20"/>
    </row>
    <row r="389">
      <c r="A389" s="17"/>
      <c r="E389" s="19"/>
      <c r="I389" s="20"/>
      <c r="J389" s="20"/>
    </row>
    <row r="390">
      <c r="A390" s="17"/>
      <c r="E390" s="19"/>
      <c r="I390" s="20"/>
      <c r="J390" s="20"/>
    </row>
    <row r="391">
      <c r="A391" s="17"/>
      <c r="E391" s="19"/>
      <c r="I391" s="20"/>
      <c r="J391" s="20"/>
    </row>
    <row r="392">
      <c r="A392" s="17"/>
      <c r="E392" s="19"/>
      <c r="I392" s="20"/>
      <c r="J392" s="20"/>
    </row>
    <row r="393">
      <c r="A393" s="17"/>
      <c r="E393" s="19"/>
      <c r="I393" s="20"/>
      <c r="J393" s="20"/>
    </row>
    <row r="394">
      <c r="A394" s="17"/>
      <c r="E394" s="19"/>
      <c r="I394" s="20"/>
      <c r="J394" s="20"/>
    </row>
    <row r="395">
      <c r="A395" s="17"/>
      <c r="E395" s="19"/>
      <c r="I395" s="20"/>
      <c r="J395" s="20"/>
    </row>
    <row r="396">
      <c r="A396" s="17"/>
      <c r="E396" s="19"/>
      <c r="I396" s="20"/>
      <c r="J396" s="20"/>
    </row>
    <row r="397">
      <c r="A397" s="17"/>
      <c r="E397" s="19"/>
      <c r="I397" s="20"/>
      <c r="J397" s="20"/>
    </row>
    <row r="398">
      <c r="A398" s="17"/>
      <c r="E398" s="19"/>
      <c r="I398" s="20"/>
      <c r="J398" s="20"/>
    </row>
    <row r="399">
      <c r="A399" s="17"/>
      <c r="E399" s="19"/>
      <c r="I399" s="20"/>
      <c r="J399" s="20"/>
    </row>
    <row r="400">
      <c r="A400" s="17"/>
      <c r="E400" s="19"/>
      <c r="I400" s="20"/>
      <c r="J400" s="20"/>
    </row>
    <row r="401">
      <c r="A401" s="17"/>
      <c r="E401" s="19"/>
      <c r="I401" s="20"/>
      <c r="J401" s="20"/>
    </row>
    <row r="402">
      <c r="A402" s="17"/>
      <c r="E402" s="19"/>
      <c r="I402" s="20"/>
      <c r="J402" s="20"/>
    </row>
    <row r="403">
      <c r="A403" s="17"/>
      <c r="E403" s="19"/>
      <c r="I403" s="20"/>
      <c r="J403" s="20"/>
    </row>
    <row r="404">
      <c r="A404" s="17"/>
      <c r="E404" s="19"/>
      <c r="I404" s="20"/>
      <c r="J404" s="20"/>
    </row>
    <row r="405">
      <c r="A405" s="17"/>
      <c r="E405" s="19"/>
      <c r="I405" s="20"/>
      <c r="J405" s="20"/>
    </row>
    <row r="406">
      <c r="A406" s="17"/>
      <c r="E406" s="19"/>
      <c r="I406" s="20"/>
      <c r="J406" s="20"/>
    </row>
    <row r="407">
      <c r="A407" s="17"/>
      <c r="E407" s="19"/>
      <c r="I407" s="20"/>
      <c r="J407" s="20"/>
    </row>
    <row r="408">
      <c r="A408" s="17"/>
      <c r="E408" s="19"/>
      <c r="I408" s="20"/>
      <c r="J408" s="20"/>
    </row>
    <row r="409">
      <c r="A409" s="17"/>
      <c r="E409" s="19"/>
      <c r="I409" s="20"/>
      <c r="J409" s="20"/>
    </row>
    <row r="410">
      <c r="A410" s="17"/>
      <c r="E410" s="19"/>
      <c r="I410" s="20"/>
      <c r="J410" s="20"/>
    </row>
    <row r="411">
      <c r="A411" s="17"/>
      <c r="E411" s="19"/>
      <c r="I411" s="20"/>
      <c r="J411" s="20"/>
    </row>
    <row r="412">
      <c r="A412" s="17"/>
      <c r="E412" s="19"/>
      <c r="I412" s="20"/>
      <c r="J412" s="20"/>
    </row>
    <row r="413">
      <c r="A413" s="17"/>
      <c r="E413" s="19"/>
      <c r="I413" s="20"/>
      <c r="J413" s="20"/>
    </row>
    <row r="414">
      <c r="A414" s="17"/>
      <c r="E414" s="19"/>
      <c r="I414" s="20"/>
      <c r="J414" s="20"/>
    </row>
    <row r="415">
      <c r="A415" s="17"/>
      <c r="E415" s="19"/>
      <c r="I415" s="20"/>
      <c r="J415" s="20"/>
    </row>
    <row r="416">
      <c r="A416" s="17"/>
      <c r="E416" s="19"/>
      <c r="I416" s="20"/>
      <c r="J416" s="20"/>
    </row>
    <row r="417">
      <c r="A417" s="17"/>
      <c r="E417" s="19"/>
      <c r="I417" s="20"/>
      <c r="J417" s="20"/>
    </row>
    <row r="418">
      <c r="A418" s="17"/>
      <c r="E418" s="19"/>
      <c r="I418" s="20"/>
      <c r="J418" s="20"/>
    </row>
    <row r="419">
      <c r="A419" s="17"/>
      <c r="E419" s="19"/>
      <c r="I419" s="20"/>
      <c r="J419" s="20"/>
    </row>
    <row r="420">
      <c r="A420" s="17"/>
      <c r="E420" s="19"/>
      <c r="I420" s="20"/>
      <c r="J420" s="20"/>
    </row>
    <row r="421">
      <c r="A421" s="17"/>
      <c r="E421" s="19"/>
      <c r="I421" s="20"/>
      <c r="J421" s="20"/>
    </row>
    <row r="422">
      <c r="A422" s="17"/>
      <c r="E422" s="19"/>
      <c r="I422" s="20"/>
      <c r="J422" s="20"/>
    </row>
    <row r="423">
      <c r="A423" s="17"/>
      <c r="E423" s="19"/>
      <c r="I423" s="20"/>
      <c r="J423" s="20"/>
    </row>
    <row r="424">
      <c r="A424" s="17"/>
      <c r="E424" s="19"/>
      <c r="I424" s="20"/>
      <c r="J424" s="20"/>
    </row>
    <row r="425">
      <c r="A425" s="17"/>
      <c r="E425" s="19"/>
      <c r="I425" s="20"/>
      <c r="J425" s="20"/>
    </row>
    <row r="426">
      <c r="A426" s="17"/>
      <c r="E426" s="19"/>
      <c r="I426" s="20"/>
      <c r="J426" s="20"/>
    </row>
    <row r="427">
      <c r="A427" s="17"/>
      <c r="E427" s="19"/>
      <c r="I427" s="20"/>
      <c r="J427" s="20"/>
    </row>
    <row r="428">
      <c r="A428" s="17"/>
      <c r="E428" s="19"/>
      <c r="I428" s="20"/>
      <c r="J428" s="20"/>
    </row>
    <row r="429">
      <c r="A429" s="17"/>
      <c r="E429" s="19"/>
      <c r="I429" s="20"/>
      <c r="J429" s="20"/>
    </row>
    <row r="430">
      <c r="A430" s="17"/>
      <c r="E430" s="19"/>
      <c r="I430" s="20"/>
      <c r="J430" s="20"/>
    </row>
    <row r="431">
      <c r="A431" s="17"/>
      <c r="E431" s="19"/>
      <c r="I431" s="20"/>
      <c r="J431" s="20"/>
    </row>
    <row r="432">
      <c r="A432" s="17"/>
      <c r="E432" s="19"/>
      <c r="I432" s="20"/>
      <c r="J432" s="20"/>
    </row>
    <row r="433">
      <c r="A433" s="17"/>
      <c r="E433" s="19"/>
      <c r="I433" s="20"/>
      <c r="J433" s="20"/>
    </row>
    <row r="434">
      <c r="A434" s="17"/>
      <c r="E434" s="19"/>
      <c r="I434" s="20"/>
      <c r="J434" s="20"/>
    </row>
    <row r="435">
      <c r="A435" s="17"/>
      <c r="E435" s="19"/>
      <c r="I435" s="20"/>
      <c r="J435" s="20"/>
    </row>
    <row r="436">
      <c r="A436" s="17"/>
      <c r="E436" s="19"/>
      <c r="I436" s="20"/>
      <c r="J436" s="20"/>
    </row>
    <row r="437">
      <c r="A437" s="17"/>
      <c r="E437" s="19"/>
      <c r="I437" s="20"/>
      <c r="J437" s="20"/>
    </row>
    <row r="438">
      <c r="A438" s="17"/>
      <c r="E438" s="19"/>
      <c r="I438" s="20"/>
      <c r="J438" s="20"/>
    </row>
    <row r="439">
      <c r="A439" s="17"/>
      <c r="E439" s="19"/>
      <c r="I439" s="20"/>
      <c r="J439" s="20"/>
    </row>
    <row r="440">
      <c r="A440" s="17"/>
      <c r="E440" s="19"/>
      <c r="I440" s="20"/>
      <c r="J440" s="20"/>
    </row>
    <row r="441">
      <c r="A441" s="17"/>
      <c r="E441" s="19"/>
      <c r="I441" s="20"/>
      <c r="J441" s="20"/>
    </row>
    <row r="442">
      <c r="A442" s="17"/>
      <c r="E442" s="19"/>
      <c r="I442" s="20"/>
      <c r="J442" s="20"/>
    </row>
    <row r="443">
      <c r="A443" s="17"/>
      <c r="E443" s="19"/>
      <c r="I443" s="20"/>
      <c r="J443" s="20"/>
    </row>
    <row r="444">
      <c r="A444" s="17"/>
      <c r="E444" s="19"/>
      <c r="I444" s="20"/>
      <c r="J444" s="20"/>
    </row>
    <row r="445">
      <c r="A445" s="17"/>
      <c r="E445" s="19"/>
      <c r="I445" s="20"/>
      <c r="J445" s="20"/>
    </row>
    <row r="446">
      <c r="A446" s="17"/>
      <c r="E446" s="19"/>
      <c r="I446" s="20"/>
      <c r="J446" s="20"/>
    </row>
    <row r="447">
      <c r="A447" s="17"/>
      <c r="E447" s="19"/>
      <c r="I447" s="20"/>
      <c r="J447" s="20"/>
    </row>
    <row r="448">
      <c r="A448" s="17"/>
      <c r="E448" s="19"/>
      <c r="I448" s="20"/>
      <c r="J448" s="20"/>
    </row>
    <row r="449">
      <c r="A449" s="17"/>
      <c r="E449" s="19"/>
      <c r="I449" s="20"/>
      <c r="J449" s="20"/>
    </row>
    <row r="450">
      <c r="A450" s="17"/>
      <c r="E450" s="19"/>
      <c r="I450" s="20"/>
      <c r="J450" s="20"/>
    </row>
    <row r="451">
      <c r="A451" s="17"/>
      <c r="E451" s="19"/>
      <c r="I451" s="20"/>
      <c r="J451" s="20"/>
    </row>
    <row r="452">
      <c r="A452" s="17"/>
      <c r="E452" s="19"/>
      <c r="I452" s="20"/>
      <c r="J452" s="20"/>
    </row>
    <row r="453">
      <c r="A453" s="17"/>
      <c r="E453" s="19"/>
      <c r="I453" s="20"/>
      <c r="J453" s="20"/>
    </row>
    <row r="454">
      <c r="A454" s="17"/>
      <c r="E454" s="19"/>
      <c r="I454" s="20"/>
      <c r="J454" s="20"/>
    </row>
    <row r="455">
      <c r="A455" s="17"/>
      <c r="E455" s="19"/>
      <c r="I455" s="20"/>
      <c r="J455" s="20"/>
    </row>
    <row r="456">
      <c r="A456" s="17"/>
      <c r="E456" s="19"/>
      <c r="I456" s="20"/>
      <c r="J456" s="20"/>
    </row>
    <row r="457">
      <c r="A457" s="17"/>
      <c r="E457" s="19"/>
      <c r="I457" s="20"/>
      <c r="J457" s="20"/>
    </row>
    <row r="458">
      <c r="A458" s="17"/>
      <c r="E458" s="19"/>
      <c r="I458" s="20"/>
      <c r="J458" s="20"/>
    </row>
    <row r="459">
      <c r="A459" s="17"/>
      <c r="E459" s="19"/>
      <c r="I459" s="20"/>
      <c r="J459" s="20"/>
    </row>
    <row r="460">
      <c r="A460" s="17"/>
      <c r="E460" s="19"/>
      <c r="I460" s="20"/>
      <c r="J460" s="20"/>
    </row>
    <row r="461">
      <c r="A461" s="17"/>
      <c r="E461" s="19"/>
      <c r="I461" s="20"/>
      <c r="J461" s="20"/>
    </row>
    <row r="462">
      <c r="A462" s="17"/>
      <c r="E462" s="19"/>
      <c r="I462" s="20"/>
      <c r="J462" s="20"/>
    </row>
    <row r="463">
      <c r="A463" s="17"/>
      <c r="E463" s="19"/>
      <c r="I463" s="20"/>
      <c r="J463" s="20"/>
    </row>
    <row r="464">
      <c r="A464" s="17"/>
      <c r="E464" s="19"/>
      <c r="I464" s="20"/>
      <c r="J464" s="20"/>
    </row>
    <row r="465">
      <c r="A465" s="17"/>
      <c r="E465" s="19"/>
      <c r="I465" s="20"/>
      <c r="J465" s="20"/>
    </row>
    <row r="466">
      <c r="A466" s="17"/>
      <c r="E466" s="19"/>
      <c r="I466" s="20"/>
      <c r="J466" s="20"/>
    </row>
    <row r="467">
      <c r="A467" s="17"/>
      <c r="E467" s="19"/>
      <c r="I467" s="20"/>
      <c r="J467" s="20"/>
    </row>
    <row r="468">
      <c r="A468" s="17"/>
      <c r="E468" s="19"/>
      <c r="I468" s="20"/>
      <c r="J468" s="20"/>
    </row>
    <row r="469">
      <c r="A469" s="17"/>
      <c r="E469" s="19"/>
      <c r="I469" s="20"/>
      <c r="J469" s="20"/>
    </row>
    <row r="470">
      <c r="A470" s="17"/>
      <c r="E470" s="19"/>
      <c r="I470" s="20"/>
      <c r="J470" s="20"/>
    </row>
    <row r="471">
      <c r="A471" s="17"/>
      <c r="E471" s="19"/>
      <c r="I471" s="20"/>
      <c r="J471" s="20"/>
    </row>
    <row r="472">
      <c r="A472" s="17"/>
      <c r="E472" s="19"/>
      <c r="I472" s="20"/>
      <c r="J472" s="20"/>
    </row>
    <row r="473">
      <c r="A473" s="17"/>
      <c r="E473" s="19"/>
      <c r="I473" s="20"/>
      <c r="J473" s="20"/>
    </row>
    <row r="474">
      <c r="A474" s="17"/>
      <c r="E474" s="19"/>
      <c r="I474" s="20"/>
      <c r="J474" s="20"/>
    </row>
    <row r="475">
      <c r="A475" s="17"/>
      <c r="E475" s="19"/>
      <c r="I475" s="20"/>
      <c r="J475" s="20"/>
    </row>
    <row r="476">
      <c r="A476" s="17"/>
      <c r="E476" s="19"/>
      <c r="I476" s="20"/>
      <c r="J476" s="20"/>
    </row>
    <row r="477">
      <c r="A477" s="17"/>
      <c r="E477" s="19"/>
      <c r="I477" s="20"/>
      <c r="J477" s="20"/>
    </row>
    <row r="478">
      <c r="A478" s="17"/>
      <c r="E478" s="19"/>
      <c r="I478" s="20"/>
      <c r="J478" s="20"/>
    </row>
    <row r="479">
      <c r="A479" s="17"/>
      <c r="E479" s="19"/>
      <c r="I479" s="20"/>
      <c r="J479" s="20"/>
    </row>
    <row r="480">
      <c r="A480" s="17"/>
      <c r="E480" s="19"/>
      <c r="I480" s="20"/>
      <c r="J480" s="20"/>
    </row>
    <row r="481">
      <c r="A481" s="17"/>
      <c r="E481" s="19"/>
      <c r="I481" s="20"/>
      <c r="J481" s="20"/>
    </row>
    <row r="482">
      <c r="A482" s="17"/>
      <c r="E482" s="19"/>
      <c r="I482" s="20"/>
      <c r="J482" s="20"/>
    </row>
    <row r="483">
      <c r="A483" s="17"/>
      <c r="E483" s="19"/>
      <c r="I483" s="20"/>
      <c r="J483" s="20"/>
    </row>
    <row r="484">
      <c r="A484" s="17"/>
      <c r="E484" s="19"/>
      <c r="I484" s="20"/>
      <c r="J484" s="20"/>
    </row>
    <row r="485">
      <c r="A485" s="17"/>
      <c r="E485" s="19"/>
      <c r="I485" s="20"/>
      <c r="J485" s="20"/>
    </row>
    <row r="486">
      <c r="A486" s="17"/>
      <c r="E486" s="19"/>
      <c r="I486" s="20"/>
      <c r="J486" s="20"/>
    </row>
    <row r="487">
      <c r="A487" s="17"/>
      <c r="E487" s="19"/>
      <c r="I487" s="20"/>
      <c r="J487" s="20"/>
    </row>
    <row r="488">
      <c r="A488" s="17"/>
      <c r="E488" s="19"/>
      <c r="I488" s="20"/>
      <c r="J488" s="20"/>
    </row>
    <row r="489">
      <c r="A489" s="17"/>
      <c r="E489" s="19"/>
      <c r="I489" s="20"/>
      <c r="J489" s="20"/>
    </row>
    <row r="490">
      <c r="A490" s="17"/>
      <c r="E490" s="19"/>
      <c r="I490" s="20"/>
      <c r="J490" s="20"/>
    </row>
    <row r="491">
      <c r="A491" s="17"/>
      <c r="E491" s="19"/>
      <c r="I491" s="20"/>
      <c r="J491" s="20"/>
    </row>
    <row r="492">
      <c r="A492" s="17"/>
      <c r="E492" s="19"/>
      <c r="I492" s="20"/>
      <c r="J492" s="20"/>
    </row>
    <row r="493">
      <c r="A493" s="17"/>
      <c r="E493" s="19"/>
      <c r="I493" s="20"/>
      <c r="J493" s="20"/>
    </row>
    <row r="494">
      <c r="A494" s="17"/>
      <c r="E494" s="19"/>
      <c r="I494" s="20"/>
      <c r="J494" s="20"/>
    </row>
    <row r="495">
      <c r="A495" s="17"/>
      <c r="E495" s="19"/>
      <c r="I495" s="20"/>
      <c r="J495" s="20"/>
    </row>
    <row r="496">
      <c r="A496" s="17"/>
      <c r="E496" s="19"/>
      <c r="I496" s="20"/>
      <c r="J496" s="20"/>
    </row>
    <row r="497">
      <c r="A497" s="17"/>
      <c r="E497" s="19"/>
      <c r="I497" s="20"/>
      <c r="J497" s="20"/>
    </row>
    <row r="498">
      <c r="A498" s="17"/>
      <c r="E498" s="19"/>
      <c r="I498" s="20"/>
      <c r="J498" s="20"/>
    </row>
    <row r="499">
      <c r="A499" s="17"/>
      <c r="E499" s="19"/>
      <c r="I499" s="20"/>
      <c r="J499" s="20"/>
    </row>
    <row r="500">
      <c r="A500" s="17"/>
      <c r="E500" s="19"/>
      <c r="I500" s="20"/>
      <c r="J500" s="20"/>
    </row>
    <row r="501">
      <c r="A501" s="17"/>
      <c r="E501" s="19"/>
      <c r="I501" s="20"/>
      <c r="J501" s="20"/>
    </row>
    <row r="502">
      <c r="A502" s="17"/>
      <c r="E502" s="19"/>
      <c r="I502" s="20"/>
      <c r="J502" s="20"/>
    </row>
    <row r="503">
      <c r="A503" s="17"/>
      <c r="E503" s="19"/>
      <c r="I503" s="20"/>
      <c r="J503" s="20"/>
    </row>
    <row r="504">
      <c r="A504" s="17"/>
      <c r="E504" s="19"/>
      <c r="I504" s="20"/>
      <c r="J504" s="20"/>
    </row>
    <row r="505">
      <c r="A505" s="17"/>
      <c r="E505" s="19"/>
      <c r="I505" s="20"/>
      <c r="J505" s="20"/>
    </row>
    <row r="506">
      <c r="A506" s="17"/>
      <c r="E506" s="19"/>
      <c r="I506" s="20"/>
      <c r="J506" s="20"/>
    </row>
    <row r="507">
      <c r="A507" s="17"/>
      <c r="E507" s="19"/>
      <c r="I507" s="20"/>
      <c r="J507" s="20"/>
    </row>
    <row r="508">
      <c r="A508" s="17"/>
      <c r="E508" s="19"/>
      <c r="I508" s="20"/>
      <c r="J508" s="20"/>
    </row>
    <row r="509">
      <c r="A509" s="17"/>
      <c r="E509" s="19"/>
      <c r="I509" s="20"/>
      <c r="J509" s="20"/>
    </row>
    <row r="510">
      <c r="A510" s="17"/>
      <c r="E510" s="19"/>
      <c r="I510" s="20"/>
      <c r="J510" s="20"/>
    </row>
    <row r="511">
      <c r="A511" s="17"/>
      <c r="E511" s="19"/>
      <c r="I511" s="20"/>
      <c r="J511" s="20"/>
    </row>
    <row r="512">
      <c r="A512" s="17"/>
      <c r="E512" s="19"/>
      <c r="I512" s="20"/>
      <c r="J512" s="20"/>
    </row>
    <row r="513">
      <c r="A513" s="17"/>
      <c r="E513" s="19"/>
      <c r="I513" s="20"/>
      <c r="J513" s="20"/>
    </row>
    <row r="514">
      <c r="A514" s="17"/>
      <c r="E514" s="19"/>
      <c r="I514" s="20"/>
      <c r="J514" s="20"/>
    </row>
    <row r="515">
      <c r="A515" s="17"/>
      <c r="E515" s="19"/>
      <c r="I515" s="20"/>
      <c r="J515" s="20"/>
    </row>
    <row r="516">
      <c r="A516" s="17"/>
      <c r="E516" s="19"/>
      <c r="I516" s="20"/>
      <c r="J516" s="20"/>
    </row>
    <row r="517">
      <c r="A517" s="17"/>
      <c r="E517" s="19"/>
      <c r="I517" s="20"/>
      <c r="J517" s="20"/>
    </row>
    <row r="518">
      <c r="A518" s="17"/>
      <c r="E518" s="19"/>
      <c r="I518" s="20"/>
      <c r="J518" s="20"/>
    </row>
    <row r="519">
      <c r="A519" s="17"/>
      <c r="E519" s="19"/>
      <c r="I519" s="20"/>
      <c r="J519" s="20"/>
    </row>
    <row r="520">
      <c r="A520" s="17"/>
      <c r="E520" s="19"/>
      <c r="I520" s="20"/>
      <c r="J520" s="20"/>
    </row>
    <row r="521">
      <c r="A521" s="17"/>
      <c r="E521" s="19"/>
      <c r="I521" s="20"/>
      <c r="J521" s="20"/>
    </row>
    <row r="522">
      <c r="A522" s="17"/>
      <c r="E522" s="19"/>
      <c r="I522" s="20"/>
      <c r="J522" s="20"/>
    </row>
    <row r="523">
      <c r="A523" s="17"/>
      <c r="E523" s="19"/>
      <c r="I523" s="20"/>
      <c r="J523" s="20"/>
    </row>
    <row r="524">
      <c r="A524" s="17"/>
      <c r="E524" s="19"/>
      <c r="I524" s="20"/>
      <c r="J524" s="20"/>
    </row>
    <row r="525">
      <c r="A525" s="17"/>
      <c r="E525" s="19"/>
      <c r="I525" s="20"/>
      <c r="J525" s="20"/>
    </row>
    <row r="526">
      <c r="A526" s="17"/>
      <c r="E526" s="19"/>
      <c r="I526" s="20"/>
      <c r="J526" s="20"/>
    </row>
    <row r="527">
      <c r="A527" s="17"/>
      <c r="E527" s="19"/>
      <c r="I527" s="20"/>
      <c r="J527" s="20"/>
    </row>
    <row r="528">
      <c r="A528" s="17"/>
      <c r="E528" s="19"/>
      <c r="I528" s="20"/>
      <c r="J528" s="20"/>
    </row>
    <row r="529">
      <c r="A529" s="17"/>
      <c r="E529" s="19"/>
      <c r="I529" s="20"/>
      <c r="J529" s="20"/>
    </row>
    <row r="530">
      <c r="A530" s="17"/>
      <c r="E530" s="19"/>
      <c r="I530" s="20"/>
      <c r="J530" s="20"/>
    </row>
    <row r="531">
      <c r="A531" s="17"/>
      <c r="E531" s="19"/>
      <c r="I531" s="20"/>
      <c r="J531" s="20"/>
    </row>
    <row r="532">
      <c r="A532" s="17"/>
      <c r="E532" s="19"/>
      <c r="I532" s="20"/>
      <c r="J532" s="20"/>
    </row>
    <row r="533">
      <c r="A533" s="17"/>
      <c r="E533" s="19"/>
      <c r="I533" s="20"/>
      <c r="J533" s="20"/>
    </row>
    <row r="534">
      <c r="A534" s="17"/>
      <c r="E534" s="19"/>
      <c r="I534" s="20"/>
      <c r="J534" s="20"/>
    </row>
    <row r="535">
      <c r="A535" s="17"/>
      <c r="E535" s="19"/>
      <c r="I535" s="20"/>
      <c r="J535" s="20"/>
    </row>
    <row r="536">
      <c r="A536" s="17"/>
      <c r="E536" s="19"/>
      <c r="I536" s="20"/>
      <c r="J536" s="20"/>
    </row>
    <row r="537">
      <c r="A537" s="17"/>
      <c r="E537" s="19"/>
      <c r="I537" s="20"/>
      <c r="J537" s="20"/>
    </row>
    <row r="538">
      <c r="A538" s="17"/>
      <c r="E538" s="19"/>
      <c r="I538" s="20"/>
      <c r="J538" s="20"/>
    </row>
    <row r="539">
      <c r="A539" s="17"/>
      <c r="E539" s="19"/>
      <c r="I539" s="20"/>
      <c r="J539" s="20"/>
    </row>
    <row r="540">
      <c r="A540" s="17"/>
      <c r="E540" s="19"/>
      <c r="I540" s="20"/>
      <c r="J540" s="20"/>
    </row>
    <row r="541">
      <c r="A541" s="17"/>
      <c r="E541" s="19"/>
      <c r="I541" s="20"/>
      <c r="J541" s="20"/>
    </row>
    <row r="542">
      <c r="A542" s="17"/>
      <c r="E542" s="19"/>
      <c r="I542" s="20"/>
      <c r="J542" s="20"/>
    </row>
    <row r="543">
      <c r="A543" s="17"/>
      <c r="E543" s="19"/>
      <c r="I543" s="20"/>
      <c r="J543" s="20"/>
    </row>
    <row r="544">
      <c r="A544" s="17"/>
      <c r="E544" s="19"/>
      <c r="I544" s="20"/>
      <c r="J544" s="20"/>
    </row>
    <row r="545">
      <c r="A545" s="17"/>
      <c r="E545" s="19"/>
      <c r="I545" s="20"/>
      <c r="J545" s="20"/>
    </row>
    <row r="546">
      <c r="A546" s="17"/>
      <c r="E546" s="19"/>
      <c r="I546" s="20"/>
      <c r="J546" s="20"/>
    </row>
    <row r="547">
      <c r="A547" s="17"/>
      <c r="E547" s="19"/>
      <c r="I547" s="20"/>
      <c r="J547" s="20"/>
    </row>
    <row r="548">
      <c r="A548" s="17"/>
      <c r="E548" s="19"/>
      <c r="I548" s="20"/>
      <c r="J548" s="20"/>
    </row>
    <row r="549">
      <c r="A549" s="17"/>
      <c r="E549" s="19"/>
      <c r="I549" s="20"/>
      <c r="J549" s="20"/>
    </row>
    <row r="550">
      <c r="A550" s="17"/>
      <c r="E550" s="19"/>
      <c r="I550" s="20"/>
      <c r="J550" s="20"/>
    </row>
    <row r="551">
      <c r="A551" s="17"/>
      <c r="E551" s="19"/>
      <c r="I551" s="20"/>
      <c r="J551" s="20"/>
    </row>
    <row r="552">
      <c r="A552" s="17"/>
      <c r="E552" s="19"/>
      <c r="I552" s="20"/>
      <c r="J552" s="20"/>
    </row>
    <row r="553">
      <c r="A553" s="17"/>
      <c r="E553" s="19"/>
      <c r="I553" s="20"/>
      <c r="J553" s="20"/>
    </row>
    <row r="554">
      <c r="A554" s="17"/>
      <c r="E554" s="19"/>
      <c r="I554" s="20"/>
      <c r="J554" s="20"/>
    </row>
    <row r="555">
      <c r="A555" s="17"/>
      <c r="E555" s="19"/>
      <c r="I555" s="20"/>
      <c r="J555" s="20"/>
    </row>
    <row r="556">
      <c r="A556" s="17"/>
      <c r="E556" s="19"/>
      <c r="I556" s="20"/>
      <c r="J556" s="20"/>
    </row>
    <row r="557">
      <c r="A557" s="17"/>
      <c r="E557" s="19"/>
      <c r="I557" s="20"/>
      <c r="J557" s="20"/>
    </row>
    <row r="558">
      <c r="A558" s="17"/>
      <c r="E558" s="19"/>
      <c r="I558" s="20"/>
      <c r="J558" s="20"/>
    </row>
    <row r="559">
      <c r="A559" s="17"/>
      <c r="E559" s="19"/>
      <c r="I559" s="20"/>
      <c r="J559" s="20"/>
    </row>
    <row r="560">
      <c r="A560" s="17"/>
      <c r="E560" s="19"/>
      <c r="I560" s="20"/>
      <c r="J560" s="20"/>
    </row>
    <row r="561">
      <c r="A561" s="17"/>
      <c r="E561" s="19"/>
      <c r="I561" s="20"/>
      <c r="J561" s="20"/>
    </row>
    <row r="562">
      <c r="A562" s="17"/>
      <c r="E562" s="19"/>
      <c r="I562" s="20"/>
      <c r="J562" s="20"/>
    </row>
    <row r="563">
      <c r="A563" s="17"/>
      <c r="E563" s="19"/>
      <c r="I563" s="20"/>
      <c r="J563" s="20"/>
    </row>
    <row r="564">
      <c r="A564" s="17"/>
      <c r="E564" s="19"/>
      <c r="I564" s="20"/>
      <c r="J564" s="20"/>
    </row>
    <row r="565">
      <c r="A565" s="17"/>
      <c r="E565" s="19"/>
      <c r="I565" s="20"/>
      <c r="J565" s="20"/>
    </row>
    <row r="566">
      <c r="A566" s="17"/>
      <c r="E566" s="19"/>
      <c r="I566" s="20"/>
      <c r="J566" s="20"/>
    </row>
    <row r="567">
      <c r="A567" s="17"/>
      <c r="E567" s="19"/>
      <c r="I567" s="20"/>
      <c r="J567" s="20"/>
    </row>
    <row r="568">
      <c r="A568" s="17"/>
      <c r="E568" s="19"/>
      <c r="I568" s="20"/>
      <c r="J568" s="20"/>
    </row>
    <row r="569">
      <c r="A569" s="17"/>
      <c r="E569" s="19"/>
      <c r="I569" s="20"/>
      <c r="J569" s="20"/>
    </row>
    <row r="570">
      <c r="A570" s="17"/>
      <c r="E570" s="19"/>
      <c r="I570" s="20"/>
      <c r="J570" s="20"/>
    </row>
    <row r="571">
      <c r="A571" s="17"/>
      <c r="E571" s="19"/>
      <c r="I571" s="20"/>
      <c r="J571" s="20"/>
    </row>
    <row r="572">
      <c r="A572" s="17"/>
      <c r="E572" s="19"/>
      <c r="I572" s="20"/>
      <c r="J572" s="20"/>
    </row>
    <row r="573">
      <c r="A573" s="17"/>
      <c r="E573" s="19"/>
      <c r="I573" s="20"/>
      <c r="J573" s="20"/>
    </row>
    <row r="574">
      <c r="A574" s="17"/>
      <c r="E574" s="19"/>
      <c r="I574" s="20"/>
      <c r="J574" s="20"/>
    </row>
    <row r="575">
      <c r="A575" s="17"/>
      <c r="E575" s="19"/>
      <c r="I575" s="20"/>
      <c r="J575" s="20"/>
    </row>
    <row r="576">
      <c r="A576" s="17"/>
      <c r="E576" s="19"/>
      <c r="I576" s="20"/>
      <c r="J576" s="20"/>
    </row>
    <row r="577">
      <c r="A577" s="17"/>
      <c r="E577" s="19"/>
      <c r="I577" s="20"/>
      <c r="J577" s="20"/>
    </row>
    <row r="578">
      <c r="A578" s="17"/>
      <c r="E578" s="19"/>
      <c r="I578" s="20"/>
      <c r="J578" s="20"/>
    </row>
    <row r="579">
      <c r="A579" s="17"/>
      <c r="E579" s="19"/>
      <c r="I579" s="20"/>
      <c r="J579" s="20"/>
    </row>
    <row r="580">
      <c r="A580" s="17"/>
      <c r="E580" s="19"/>
      <c r="I580" s="20"/>
      <c r="J580" s="20"/>
    </row>
    <row r="581">
      <c r="A581" s="17"/>
      <c r="E581" s="19"/>
      <c r="I581" s="20"/>
      <c r="J581" s="20"/>
    </row>
    <row r="582">
      <c r="A582" s="17"/>
      <c r="E582" s="19"/>
      <c r="I582" s="20"/>
      <c r="J582" s="20"/>
    </row>
    <row r="583">
      <c r="A583" s="17"/>
      <c r="E583" s="19"/>
      <c r="I583" s="20"/>
      <c r="J583" s="20"/>
    </row>
    <row r="584">
      <c r="A584" s="17"/>
      <c r="E584" s="19"/>
      <c r="I584" s="20"/>
      <c r="J584" s="20"/>
    </row>
    <row r="585">
      <c r="A585" s="17"/>
      <c r="E585" s="19"/>
      <c r="I585" s="20"/>
      <c r="J585" s="20"/>
    </row>
    <row r="586">
      <c r="A586" s="17"/>
      <c r="E586" s="19"/>
      <c r="I586" s="20"/>
      <c r="J586" s="20"/>
    </row>
    <row r="587">
      <c r="A587" s="17"/>
      <c r="E587" s="19"/>
      <c r="I587" s="20"/>
      <c r="J587" s="20"/>
    </row>
    <row r="588">
      <c r="A588" s="17"/>
      <c r="E588" s="19"/>
      <c r="I588" s="20"/>
      <c r="J588" s="20"/>
    </row>
    <row r="589">
      <c r="A589" s="17"/>
      <c r="E589" s="19"/>
      <c r="I589" s="20"/>
      <c r="J589" s="20"/>
    </row>
    <row r="590">
      <c r="A590" s="17"/>
      <c r="E590" s="19"/>
      <c r="I590" s="20"/>
      <c r="J590" s="20"/>
    </row>
    <row r="591">
      <c r="A591" s="17"/>
      <c r="E591" s="19"/>
      <c r="I591" s="20"/>
      <c r="J591" s="20"/>
    </row>
    <row r="592">
      <c r="A592" s="17"/>
      <c r="E592" s="19"/>
      <c r="I592" s="20"/>
      <c r="J592" s="20"/>
    </row>
    <row r="593">
      <c r="A593" s="17"/>
      <c r="E593" s="19"/>
      <c r="I593" s="20"/>
      <c r="J593" s="20"/>
    </row>
    <row r="594">
      <c r="A594" s="17"/>
      <c r="E594" s="19"/>
      <c r="I594" s="20"/>
      <c r="J594" s="20"/>
    </row>
    <row r="595">
      <c r="A595" s="17"/>
      <c r="E595" s="19"/>
      <c r="I595" s="20"/>
      <c r="J595" s="20"/>
    </row>
    <row r="596">
      <c r="A596" s="17"/>
      <c r="E596" s="19"/>
      <c r="I596" s="20"/>
      <c r="J596" s="20"/>
    </row>
    <row r="597">
      <c r="A597" s="17"/>
      <c r="E597" s="19"/>
      <c r="I597" s="20"/>
      <c r="J597" s="20"/>
    </row>
    <row r="598">
      <c r="A598" s="17"/>
      <c r="E598" s="19"/>
      <c r="I598" s="20"/>
      <c r="J598" s="20"/>
    </row>
    <row r="599">
      <c r="A599" s="17"/>
      <c r="E599" s="19"/>
      <c r="I599" s="20"/>
      <c r="J599" s="20"/>
    </row>
    <row r="600">
      <c r="A600" s="17"/>
      <c r="E600" s="19"/>
      <c r="I600" s="20"/>
      <c r="J600" s="20"/>
    </row>
    <row r="601">
      <c r="A601" s="17"/>
      <c r="E601" s="19"/>
      <c r="I601" s="20"/>
      <c r="J601" s="20"/>
    </row>
    <row r="602">
      <c r="A602" s="17"/>
      <c r="E602" s="19"/>
      <c r="I602" s="20"/>
      <c r="J602" s="20"/>
    </row>
    <row r="603">
      <c r="A603" s="17"/>
      <c r="E603" s="19"/>
      <c r="I603" s="20"/>
      <c r="J603" s="20"/>
    </row>
    <row r="604">
      <c r="A604" s="17"/>
      <c r="E604" s="19"/>
      <c r="I604" s="20"/>
      <c r="J604" s="20"/>
    </row>
    <row r="605">
      <c r="A605" s="17"/>
      <c r="E605" s="19"/>
      <c r="I605" s="20"/>
      <c r="J605" s="20"/>
    </row>
    <row r="606">
      <c r="A606" s="17"/>
      <c r="E606" s="19"/>
      <c r="I606" s="20"/>
      <c r="J606" s="20"/>
    </row>
    <row r="607">
      <c r="A607" s="17"/>
      <c r="E607" s="19"/>
      <c r="I607" s="20"/>
      <c r="J607" s="20"/>
    </row>
    <row r="608">
      <c r="A608" s="17"/>
      <c r="E608" s="19"/>
      <c r="I608" s="20"/>
      <c r="J608" s="20"/>
    </row>
    <row r="609">
      <c r="A609" s="17"/>
      <c r="E609" s="19"/>
      <c r="I609" s="20"/>
      <c r="J609" s="20"/>
    </row>
    <row r="610">
      <c r="A610" s="17"/>
      <c r="E610" s="19"/>
      <c r="I610" s="20"/>
      <c r="J610" s="20"/>
    </row>
    <row r="611">
      <c r="A611" s="17"/>
      <c r="E611" s="19"/>
      <c r="I611" s="20"/>
      <c r="J611" s="20"/>
    </row>
    <row r="612">
      <c r="A612" s="17"/>
      <c r="E612" s="19"/>
      <c r="I612" s="20"/>
      <c r="J612" s="20"/>
    </row>
    <row r="613">
      <c r="A613" s="17"/>
      <c r="E613" s="19"/>
      <c r="I613" s="20"/>
      <c r="J613" s="20"/>
    </row>
    <row r="614">
      <c r="A614" s="17"/>
      <c r="E614" s="19"/>
      <c r="I614" s="20"/>
      <c r="J614" s="20"/>
    </row>
    <row r="615">
      <c r="A615" s="17"/>
      <c r="E615" s="19"/>
      <c r="I615" s="20"/>
      <c r="J615" s="20"/>
    </row>
    <row r="616">
      <c r="A616" s="17"/>
      <c r="E616" s="19"/>
      <c r="I616" s="20"/>
      <c r="J616" s="20"/>
    </row>
    <row r="617">
      <c r="A617" s="17"/>
      <c r="E617" s="19"/>
      <c r="I617" s="20"/>
      <c r="J617" s="20"/>
    </row>
    <row r="618">
      <c r="A618" s="17"/>
      <c r="E618" s="19"/>
      <c r="I618" s="20"/>
      <c r="J618" s="20"/>
    </row>
    <row r="619">
      <c r="A619" s="17"/>
      <c r="E619" s="19"/>
      <c r="I619" s="20"/>
      <c r="J619" s="20"/>
    </row>
    <row r="620">
      <c r="A620" s="17"/>
      <c r="E620" s="19"/>
      <c r="I620" s="20"/>
      <c r="J620" s="20"/>
    </row>
    <row r="621">
      <c r="A621" s="17"/>
      <c r="E621" s="19"/>
      <c r="I621" s="20"/>
      <c r="J621" s="20"/>
    </row>
    <row r="622">
      <c r="A622" s="17"/>
      <c r="E622" s="19"/>
      <c r="I622" s="20"/>
      <c r="J622" s="20"/>
    </row>
    <row r="623">
      <c r="A623" s="17"/>
      <c r="E623" s="19"/>
      <c r="I623" s="20"/>
      <c r="J623" s="20"/>
    </row>
    <row r="624">
      <c r="A624" s="17"/>
      <c r="E624" s="19"/>
      <c r="I624" s="20"/>
      <c r="J624" s="20"/>
    </row>
    <row r="625">
      <c r="A625" s="17"/>
      <c r="E625" s="19"/>
      <c r="I625" s="20"/>
      <c r="J625" s="20"/>
    </row>
    <row r="626">
      <c r="A626" s="17"/>
      <c r="E626" s="19"/>
      <c r="I626" s="20"/>
      <c r="J626" s="20"/>
    </row>
    <row r="627">
      <c r="A627" s="17"/>
      <c r="E627" s="19"/>
      <c r="I627" s="20"/>
      <c r="J627" s="20"/>
    </row>
    <row r="628">
      <c r="A628" s="17"/>
      <c r="E628" s="19"/>
      <c r="I628" s="20"/>
      <c r="J628" s="20"/>
    </row>
    <row r="629">
      <c r="A629" s="17"/>
      <c r="E629" s="19"/>
      <c r="I629" s="20"/>
      <c r="J629" s="20"/>
    </row>
    <row r="630">
      <c r="A630" s="17"/>
      <c r="E630" s="19"/>
      <c r="I630" s="20"/>
      <c r="J630" s="20"/>
    </row>
    <row r="631">
      <c r="A631" s="17"/>
      <c r="E631" s="19"/>
      <c r="I631" s="20"/>
      <c r="J631" s="20"/>
    </row>
    <row r="632">
      <c r="A632" s="17"/>
      <c r="E632" s="19"/>
      <c r="I632" s="20"/>
      <c r="J632" s="20"/>
    </row>
    <row r="633">
      <c r="A633" s="17"/>
      <c r="E633" s="19"/>
      <c r="I633" s="20"/>
      <c r="J633" s="20"/>
    </row>
    <row r="634">
      <c r="A634" s="17"/>
      <c r="E634" s="19"/>
      <c r="I634" s="20"/>
      <c r="J634" s="20"/>
    </row>
    <row r="635">
      <c r="A635" s="17"/>
      <c r="E635" s="19"/>
      <c r="I635" s="20"/>
      <c r="J635" s="20"/>
    </row>
    <row r="636">
      <c r="A636" s="17"/>
      <c r="E636" s="19"/>
      <c r="I636" s="20"/>
      <c r="J636" s="20"/>
    </row>
    <row r="637">
      <c r="A637" s="17"/>
      <c r="E637" s="19"/>
      <c r="I637" s="20"/>
      <c r="J637" s="20"/>
    </row>
    <row r="638">
      <c r="A638" s="17"/>
      <c r="E638" s="19"/>
      <c r="I638" s="20"/>
      <c r="J638" s="20"/>
    </row>
    <row r="639">
      <c r="A639" s="17"/>
      <c r="E639" s="19"/>
      <c r="I639" s="20"/>
      <c r="J639" s="20"/>
    </row>
    <row r="640">
      <c r="A640" s="17"/>
      <c r="E640" s="19"/>
      <c r="I640" s="20"/>
      <c r="J640" s="20"/>
    </row>
    <row r="641">
      <c r="A641" s="17"/>
      <c r="E641" s="19"/>
      <c r="I641" s="20"/>
      <c r="J641" s="20"/>
    </row>
    <row r="642">
      <c r="A642" s="17"/>
      <c r="E642" s="19"/>
      <c r="I642" s="20"/>
      <c r="J642" s="20"/>
    </row>
    <row r="643">
      <c r="A643" s="17"/>
      <c r="E643" s="19"/>
      <c r="I643" s="20"/>
      <c r="J643" s="20"/>
    </row>
    <row r="644">
      <c r="A644" s="17"/>
      <c r="E644" s="19"/>
      <c r="I644" s="20"/>
      <c r="J644" s="20"/>
    </row>
    <row r="645">
      <c r="A645" s="17"/>
      <c r="E645" s="19"/>
      <c r="I645" s="20"/>
      <c r="J645" s="20"/>
    </row>
    <row r="646">
      <c r="A646" s="17"/>
      <c r="E646" s="19"/>
      <c r="I646" s="20"/>
      <c r="J646" s="20"/>
    </row>
    <row r="647">
      <c r="A647" s="17"/>
      <c r="E647" s="19"/>
      <c r="I647" s="20"/>
      <c r="J647" s="20"/>
    </row>
    <row r="648">
      <c r="A648" s="17"/>
      <c r="E648" s="19"/>
      <c r="I648" s="20"/>
      <c r="J648" s="20"/>
    </row>
    <row r="649">
      <c r="A649" s="17"/>
      <c r="E649" s="19"/>
      <c r="I649" s="20"/>
      <c r="J649" s="20"/>
    </row>
    <row r="650">
      <c r="A650" s="17"/>
      <c r="E650" s="19"/>
      <c r="I650" s="20"/>
      <c r="J650" s="20"/>
    </row>
    <row r="651">
      <c r="A651" s="17"/>
      <c r="E651" s="19"/>
      <c r="I651" s="20"/>
      <c r="J651" s="20"/>
    </row>
    <row r="652">
      <c r="A652" s="17"/>
      <c r="E652" s="19"/>
      <c r="I652" s="20"/>
      <c r="J652" s="20"/>
    </row>
    <row r="653">
      <c r="A653" s="17"/>
      <c r="E653" s="19"/>
      <c r="I653" s="20"/>
      <c r="J653" s="20"/>
    </row>
    <row r="654">
      <c r="A654" s="17"/>
      <c r="E654" s="19"/>
      <c r="I654" s="20"/>
      <c r="J654" s="20"/>
    </row>
    <row r="655">
      <c r="A655" s="17"/>
      <c r="E655" s="19"/>
      <c r="I655" s="20"/>
      <c r="J655" s="20"/>
    </row>
    <row r="656">
      <c r="A656" s="17"/>
      <c r="E656" s="19"/>
      <c r="I656" s="20"/>
      <c r="J656" s="20"/>
    </row>
    <row r="657">
      <c r="A657" s="17"/>
      <c r="E657" s="19"/>
      <c r="I657" s="20"/>
      <c r="J657" s="20"/>
    </row>
    <row r="658">
      <c r="A658" s="17"/>
      <c r="E658" s="19"/>
      <c r="I658" s="20"/>
      <c r="J658" s="20"/>
    </row>
    <row r="659">
      <c r="A659" s="17"/>
      <c r="E659" s="19"/>
      <c r="I659" s="20"/>
      <c r="J659" s="20"/>
    </row>
    <row r="660">
      <c r="A660" s="17"/>
      <c r="E660" s="19"/>
      <c r="I660" s="20"/>
      <c r="J660" s="20"/>
    </row>
    <row r="661">
      <c r="A661" s="17"/>
      <c r="E661" s="19"/>
      <c r="I661" s="20"/>
      <c r="J661" s="20"/>
    </row>
    <row r="662">
      <c r="A662" s="17"/>
      <c r="E662" s="19"/>
      <c r="I662" s="20"/>
      <c r="J662" s="20"/>
    </row>
    <row r="663">
      <c r="A663" s="17"/>
      <c r="E663" s="19"/>
      <c r="I663" s="20"/>
      <c r="J663" s="20"/>
    </row>
    <row r="664">
      <c r="A664" s="17"/>
      <c r="E664" s="19"/>
      <c r="I664" s="20"/>
      <c r="J664" s="20"/>
    </row>
    <row r="665">
      <c r="A665" s="17"/>
      <c r="E665" s="19"/>
      <c r="I665" s="20"/>
      <c r="J665" s="20"/>
    </row>
    <row r="666">
      <c r="A666" s="17"/>
      <c r="E666" s="19"/>
      <c r="I666" s="20"/>
      <c r="J666" s="20"/>
    </row>
    <row r="667">
      <c r="A667" s="17"/>
      <c r="E667" s="19"/>
      <c r="I667" s="20"/>
      <c r="J667" s="20"/>
    </row>
    <row r="668">
      <c r="A668" s="17"/>
      <c r="E668" s="19"/>
      <c r="I668" s="20"/>
      <c r="J668" s="20"/>
    </row>
    <row r="669">
      <c r="A669" s="17"/>
      <c r="E669" s="19"/>
      <c r="I669" s="20"/>
      <c r="J669" s="20"/>
    </row>
    <row r="670">
      <c r="A670" s="17"/>
      <c r="E670" s="19"/>
      <c r="I670" s="20"/>
      <c r="J670" s="20"/>
    </row>
    <row r="671">
      <c r="A671" s="17"/>
      <c r="E671" s="19"/>
      <c r="I671" s="20"/>
      <c r="J671" s="20"/>
    </row>
    <row r="672">
      <c r="A672" s="17"/>
      <c r="E672" s="19"/>
      <c r="I672" s="20"/>
      <c r="J672" s="20"/>
    </row>
    <row r="673">
      <c r="A673" s="17"/>
      <c r="E673" s="19"/>
      <c r="I673" s="20"/>
      <c r="J673" s="20"/>
    </row>
    <row r="674">
      <c r="A674" s="17"/>
      <c r="E674" s="19"/>
      <c r="I674" s="20"/>
      <c r="J674" s="20"/>
    </row>
    <row r="675">
      <c r="A675" s="17"/>
      <c r="E675" s="19"/>
      <c r="I675" s="20"/>
      <c r="J675" s="20"/>
    </row>
    <row r="676">
      <c r="A676" s="17"/>
      <c r="E676" s="19"/>
      <c r="I676" s="20"/>
      <c r="J676" s="20"/>
    </row>
    <row r="677">
      <c r="A677" s="17"/>
      <c r="E677" s="19"/>
      <c r="I677" s="20"/>
      <c r="J677" s="20"/>
    </row>
    <row r="678">
      <c r="A678" s="17"/>
      <c r="E678" s="19"/>
      <c r="I678" s="20"/>
      <c r="J678" s="20"/>
    </row>
    <row r="679">
      <c r="A679" s="17"/>
      <c r="E679" s="19"/>
      <c r="I679" s="20"/>
      <c r="J679" s="20"/>
    </row>
    <row r="680">
      <c r="A680" s="17"/>
      <c r="E680" s="19"/>
      <c r="I680" s="20"/>
      <c r="J680" s="20"/>
    </row>
    <row r="681">
      <c r="A681" s="17"/>
      <c r="E681" s="19"/>
      <c r="I681" s="20"/>
      <c r="J681" s="20"/>
    </row>
    <row r="682">
      <c r="A682" s="17"/>
      <c r="E682" s="19"/>
      <c r="I682" s="20"/>
      <c r="J682" s="20"/>
    </row>
    <row r="683">
      <c r="A683" s="17"/>
      <c r="E683" s="19"/>
      <c r="I683" s="20"/>
      <c r="J683" s="20"/>
    </row>
    <row r="684">
      <c r="A684" s="17"/>
      <c r="E684" s="19"/>
      <c r="I684" s="20"/>
      <c r="J684" s="20"/>
    </row>
    <row r="685">
      <c r="A685" s="17"/>
      <c r="E685" s="19"/>
      <c r="I685" s="20"/>
      <c r="J685" s="20"/>
    </row>
    <row r="686">
      <c r="A686" s="17"/>
      <c r="E686" s="19"/>
      <c r="I686" s="20"/>
      <c r="J686" s="20"/>
    </row>
    <row r="687">
      <c r="A687" s="17"/>
      <c r="E687" s="19"/>
      <c r="I687" s="20"/>
      <c r="J687" s="20"/>
    </row>
    <row r="688">
      <c r="A688" s="17"/>
      <c r="E688" s="19"/>
      <c r="I688" s="20"/>
      <c r="J688" s="20"/>
    </row>
    <row r="689">
      <c r="A689" s="17"/>
      <c r="E689" s="19"/>
      <c r="I689" s="20"/>
      <c r="J689" s="20"/>
    </row>
    <row r="690">
      <c r="A690" s="17"/>
      <c r="E690" s="19"/>
      <c r="I690" s="20"/>
      <c r="J690" s="20"/>
    </row>
    <row r="691">
      <c r="A691" s="17"/>
      <c r="E691" s="19"/>
      <c r="I691" s="20"/>
      <c r="J691" s="20"/>
    </row>
    <row r="692">
      <c r="A692" s="17"/>
      <c r="E692" s="19"/>
      <c r="I692" s="20"/>
      <c r="J692" s="20"/>
    </row>
    <row r="693">
      <c r="A693" s="17"/>
      <c r="E693" s="19"/>
      <c r="I693" s="20"/>
      <c r="J693" s="20"/>
    </row>
    <row r="694">
      <c r="A694" s="17"/>
      <c r="E694" s="19"/>
      <c r="I694" s="20"/>
      <c r="J694" s="20"/>
    </row>
    <row r="695">
      <c r="A695" s="17"/>
      <c r="E695" s="19"/>
      <c r="I695" s="20"/>
      <c r="J695" s="20"/>
    </row>
    <row r="696">
      <c r="A696" s="17"/>
      <c r="E696" s="19"/>
      <c r="I696" s="20"/>
      <c r="J696" s="20"/>
    </row>
    <row r="697">
      <c r="A697" s="17"/>
      <c r="E697" s="19"/>
      <c r="I697" s="20"/>
      <c r="J697" s="20"/>
    </row>
    <row r="698">
      <c r="A698" s="17"/>
      <c r="E698" s="19"/>
      <c r="I698" s="20"/>
      <c r="J698" s="20"/>
    </row>
    <row r="699">
      <c r="A699" s="17"/>
      <c r="E699" s="19"/>
      <c r="I699" s="20"/>
      <c r="J699" s="20"/>
    </row>
    <row r="700">
      <c r="A700" s="17"/>
      <c r="E700" s="19"/>
      <c r="I700" s="20"/>
      <c r="J700" s="20"/>
    </row>
    <row r="701">
      <c r="A701" s="17"/>
      <c r="E701" s="19"/>
      <c r="I701" s="20"/>
      <c r="J701" s="20"/>
    </row>
    <row r="702">
      <c r="A702" s="17"/>
      <c r="E702" s="19"/>
      <c r="I702" s="20"/>
      <c r="J702" s="20"/>
    </row>
    <row r="703">
      <c r="A703" s="17"/>
      <c r="E703" s="19"/>
      <c r="I703" s="20"/>
      <c r="J703" s="20"/>
    </row>
    <row r="704">
      <c r="A704" s="17"/>
      <c r="E704" s="19"/>
      <c r="I704" s="20"/>
      <c r="J704" s="20"/>
    </row>
    <row r="705">
      <c r="A705" s="17"/>
      <c r="E705" s="19"/>
      <c r="I705" s="20"/>
      <c r="J705" s="20"/>
    </row>
    <row r="706">
      <c r="A706" s="17"/>
      <c r="E706" s="19"/>
      <c r="I706" s="20"/>
      <c r="J706" s="20"/>
    </row>
    <row r="707">
      <c r="A707" s="17"/>
      <c r="E707" s="19"/>
      <c r="I707" s="20"/>
      <c r="J707" s="20"/>
    </row>
    <row r="708">
      <c r="A708" s="17"/>
      <c r="E708" s="19"/>
      <c r="I708" s="20"/>
      <c r="J708" s="20"/>
    </row>
    <row r="709">
      <c r="A709" s="17"/>
      <c r="E709" s="19"/>
      <c r="I709" s="20"/>
      <c r="J709" s="20"/>
    </row>
    <row r="710">
      <c r="A710" s="17"/>
      <c r="E710" s="19"/>
      <c r="I710" s="20"/>
      <c r="J710" s="20"/>
    </row>
    <row r="711">
      <c r="A711" s="17"/>
      <c r="E711" s="19"/>
      <c r="I711" s="20"/>
      <c r="J711" s="20"/>
    </row>
    <row r="712">
      <c r="A712" s="17"/>
      <c r="E712" s="19"/>
      <c r="I712" s="20"/>
      <c r="J712" s="20"/>
    </row>
    <row r="713">
      <c r="A713" s="17"/>
      <c r="E713" s="19"/>
      <c r="I713" s="20"/>
      <c r="J713" s="20"/>
    </row>
    <row r="714">
      <c r="A714" s="17"/>
      <c r="E714" s="19"/>
      <c r="I714" s="20"/>
      <c r="J714" s="20"/>
    </row>
    <row r="715">
      <c r="A715" s="17"/>
      <c r="E715" s="19"/>
      <c r="I715" s="20"/>
      <c r="J715" s="20"/>
    </row>
    <row r="716">
      <c r="A716" s="17"/>
      <c r="E716" s="19"/>
      <c r="I716" s="20"/>
      <c r="J716" s="20"/>
    </row>
    <row r="717">
      <c r="A717" s="17"/>
      <c r="E717" s="19"/>
      <c r="I717" s="20"/>
      <c r="J717" s="20"/>
    </row>
    <row r="718">
      <c r="A718" s="17"/>
      <c r="E718" s="19"/>
      <c r="I718" s="20"/>
      <c r="J718" s="20"/>
    </row>
    <row r="719">
      <c r="A719" s="17"/>
      <c r="E719" s="19"/>
      <c r="I719" s="20"/>
      <c r="J719" s="20"/>
    </row>
    <row r="720">
      <c r="A720" s="17"/>
      <c r="E720" s="19"/>
      <c r="I720" s="20"/>
      <c r="J720" s="20"/>
    </row>
    <row r="721">
      <c r="A721" s="17"/>
      <c r="E721" s="19"/>
      <c r="I721" s="20"/>
      <c r="J721" s="20"/>
    </row>
    <row r="722">
      <c r="A722" s="17"/>
      <c r="E722" s="19"/>
      <c r="I722" s="20"/>
      <c r="J722" s="20"/>
    </row>
    <row r="723">
      <c r="A723" s="17"/>
      <c r="E723" s="19"/>
      <c r="I723" s="20"/>
      <c r="J723" s="20"/>
    </row>
    <row r="724">
      <c r="A724" s="17"/>
      <c r="E724" s="19"/>
      <c r="I724" s="20"/>
      <c r="J724" s="20"/>
    </row>
    <row r="725">
      <c r="A725" s="17"/>
      <c r="E725" s="19"/>
      <c r="I725" s="20"/>
      <c r="J725" s="20"/>
    </row>
    <row r="726">
      <c r="A726" s="17"/>
      <c r="E726" s="19"/>
      <c r="I726" s="20"/>
      <c r="J726" s="20"/>
    </row>
    <row r="727">
      <c r="A727" s="17"/>
      <c r="E727" s="19"/>
      <c r="I727" s="20"/>
      <c r="J727" s="20"/>
    </row>
    <row r="728">
      <c r="A728" s="17"/>
      <c r="E728" s="19"/>
      <c r="I728" s="20"/>
      <c r="J728" s="20"/>
    </row>
    <row r="729">
      <c r="A729" s="17"/>
      <c r="E729" s="19"/>
      <c r="I729" s="20"/>
      <c r="J729" s="20"/>
    </row>
    <row r="730">
      <c r="A730" s="17"/>
      <c r="E730" s="19"/>
      <c r="I730" s="20"/>
      <c r="J730" s="20"/>
    </row>
    <row r="731">
      <c r="A731" s="17"/>
      <c r="E731" s="19"/>
      <c r="I731" s="20"/>
      <c r="J731" s="20"/>
    </row>
    <row r="732">
      <c r="A732" s="17"/>
      <c r="E732" s="19"/>
      <c r="I732" s="20"/>
      <c r="J732" s="20"/>
    </row>
    <row r="733">
      <c r="A733" s="17"/>
      <c r="E733" s="19"/>
      <c r="I733" s="20"/>
      <c r="J733" s="20"/>
    </row>
    <row r="734">
      <c r="A734" s="17"/>
      <c r="E734" s="19"/>
      <c r="I734" s="20"/>
      <c r="J734" s="20"/>
    </row>
    <row r="735">
      <c r="A735" s="17"/>
      <c r="E735" s="19"/>
      <c r="I735" s="20"/>
      <c r="J735" s="20"/>
    </row>
    <row r="736">
      <c r="A736" s="17"/>
      <c r="E736" s="19"/>
      <c r="I736" s="20"/>
      <c r="J736" s="20"/>
    </row>
    <row r="737">
      <c r="A737" s="17"/>
      <c r="E737" s="19"/>
      <c r="I737" s="20"/>
      <c r="J737" s="20"/>
    </row>
    <row r="738">
      <c r="A738" s="17"/>
      <c r="E738" s="19"/>
      <c r="I738" s="20"/>
      <c r="J738" s="20"/>
    </row>
    <row r="739">
      <c r="A739" s="17"/>
      <c r="E739" s="19"/>
      <c r="I739" s="20"/>
      <c r="J739" s="20"/>
    </row>
    <row r="740">
      <c r="A740" s="17"/>
      <c r="E740" s="19"/>
      <c r="I740" s="20"/>
      <c r="J740" s="20"/>
    </row>
    <row r="741">
      <c r="A741" s="17"/>
      <c r="E741" s="19"/>
      <c r="I741" s="20"/>
      <c r="J741" s="20"/>
    </row>
    <row r="742">
      <c r="A742" s="17"/>
      <c r="E742" s="19"/>
      <c r="I742" s="20"/>
      <c r="J742" s="20"/>
    </row>
    <row r="743">
      <c r="A743" s="17"/>
      <c r="E743" s="19"/>
      <c r="I743" s="20"/>
      <c r="J743" s="20"/>
    </row>
    <row r="744">
      <c r="A744" s="17"/>
      <c r="E744" s="19"/>
      <c r="I744" s="20"/>
      <c r="J744" s="20"/>
    </row>
    <row r="745">
      <c r="A745" s="17"/>
      <c r="E745" s="19"/>
      <c r="I745" s="20"/>
      <c r="J745" s="20"/>
    </row>
    <row r="746">
      <c r="A746" s="17"/>
      <c r="E746" s="19"/>
      <c r="I746" s="20"/>
      <c r="J746" s="20"/>
    </row>
    <row r="747">
      <c r="A747" s="17"/>
      <c r="E747" s="19"/>
      <c r="I747" s="20"/>
      <c r="J747" s="20"/>
    </row>
    <row r="748">
      <c r="A748" s="17"/>
      <c r="E748" s="19"/>
      <c r="I748" s="20"/>
      <c r="J748" s="20"/>
    </row>
    <row r="749">
      <c r="A749" s="17"/>
      <c r="E749" s="19"/>
      <c r="I749" s="20"/>
      <c r="J749" s="20"/>
    </row>
    <row r="750">
      <c r="A750" s="17"/>
      <c r="E750" s="19"/>
      <c r="I750" s="20"/>
      <c r="J750" s="20"/>
    </row>
    <row r="751">
      <c r="A751" s="17"/>
      <c r="E751" s="19"/>
      <c r="I751" s="20"/>
      <c r="J751" s="20"/>
    </row>
    <row r="752">
      <c r="A752" s="17"/>
      <c r="E752" s="19"/>
      <c r="I752" s="20"/>
      <c r="J752" s="20"/>
    </row>
    <row r="753">
      <c r="A753" s="17"/>
      <c r="E753" s="19"/>
      <c r="I753" s="20"/>
      <c r="J753" s="20"/>
    </row>
    <row r="754">
      <c r="A754" s="17"/>
      <c r="E754" s="19"/>
      <c r="I754" s="20"/>
      <c r="J754" s="20"/>
    </row>
    <row r="755">
      <c r="A755" s="17"/>
      <c r="E755" s="19"/>
      <c r="I755" s="20"/>
      <c r="J755" s="20"/>
    </row>
    <row r="756">
      <c r="A756" s="17"/>
      <c r="E756" s="19"/>
      <c r="I756" s="20"/>
      <c r="J756" s="20"/>
    </row>
    <row r="757">
      <c r="A757" s="17"/>
      <c r="E757" s="19"/>
      <c r="I757" s="20"/>
      <c r="J757" s="20"/>
    </row>
    <row r="758">
      <c r="A758" s="17"/>
      <c r="E758" s="19"/>
      <c r="I758" s="20"/>
      <c r="J758" s="20"/>
    </row>
    <row r="759">
      <c r="A759" s="17"/>
      <c r="E759" s="19"/>
      <c r="I759" s="20"/>
      <c r="J759" s="20"/>
    </row>
    <row r="760">
      <c r="A760" s="17"/>
      <c r="E760" s="19"/>
      <c r="I760" s="20"/>
      <c r="J760" s="20"/>
    </row>
    <row r="761">
      <c r="A761" s="17"/>
      <c r="E761" s="19"/>
      <c r="I761" s="20"/>
      <c r="J761" s="20"/>
    </row>
    <row r="762">
      <c r="A762" s="17"/>
      <c r="E762" s="19"/>
      <c r="I762" s="20"/>
      <c r="J762" s="20"/>
    </row>
    <row r="763">
      <c r="A763" s="17"/>
      <c r="E763" s="19"/>
      <c r="I763" s="20"/>
      <c r="J763" s="20"/>
    </row>
    <row r="764">
      <c r="A764" s="17"/>
      <c r="E764" s="19"/>
      <c r="I764" s="20"/>
      <c r="J764" s="20"/>
    </row>
    <row r="765">
      <c r="A765" s="17"/>
      <c r="E765" s="19"/>
      <c r="I765" s="20"/>
      <c r="J765" s="20"/>
    </row>
    <row r="766">
      <c r="A766" s="17"/>
      <c r="E766" s="19"/>
      <c r="I766" s="20"/>
      <c r="J766" s="20"/>
    </row>
    <row r="767">
      <c r="A767" s="17"/>
      <c r="E767" s="19"/>
      <c r="I767" s="20"/>
      <c r="J767" s="20"/>
    </row>
    <row r="768">
      <c r="A768" s="17"/>
      <c r="E768" s="19"/>
      <c r="I768" s="20"/>
      <c r="J768" s="20"/>
    </row>
    <row r="769">
      <c r="A769" s="17"/>
      <c r="E769" s="19"/>
      <c r="I769" s="20"/>
      <c r="J769" s="20"/>
    </row>
    <row r="770">
      <c r="A770" s="17"/>
      <c r="E770" s="19"/>
      <c r="I770" s="20"/>
      <c r="J770" s="20"/>
    </row>
    <row r="771">
      <c r="A771" s="17"/>
      <c r="E771" s="19"/>
      <c r="I771" s="20"/>
      <c r="J771" s="20"/>
    </row>
    <row r="772">
      <c r="A772" s="17"/>
      <c r="E772" s="19"/>
      <c r="I772" s="20"/>
      <c r="J772" s="20"/>
    </row>
    <row r="773">
      <c r="A773" s="17"/>
      <c r="E773" s="19"/>
      <c r="I773" s="20"/>
      <c r="J773" s="20"/>
    </row>
    <row r="774">
      <c r="A774" s="17"/>
      <c r="E774" s="19"/>
      <c r="I774" s="20"/>
      <c r="J774" s="20"/>
    </row>
    <row r="775">
      <c r="A775" s="17"/>
      <c r="E775" s="19"/>
      <c r="I775" s="20"/>
      <c r="J775" s="20"/>
    </row>
    <row r="776">
      <c r="A776" s="17"/>
      <c r="E776" s="19"/>
      <c r="I776" s="20"/>
      <c r="J776" s="20"/>
    </row>
    <row r="777">
      <c r="A777" s="17"/>
      <c r="E777" s="19"/>
      <c r="I777" s="20"/>
      <c r="J777" s="20"/>
    </row>
    <row r="778">
      <c r="A778" s="17"/>
      <c r="E778" s="19"/>
      <c r="I778" s="20"/>
      <c r="J778" s="20"/>
    </row>
    <row r="779">
      <c r="A779" s="17"/>
      <c r="E779" s="19"/>
      <c r="I779" s="20"/>
      <c r="J779" s="20"/>
    </row>
    <row r="780">
      <c r="A780" s="17"/>
      <c r="E780" s="19"/>
      <c r="I780" s="20"/>
      <c r="J780" s="20"/>
    </row>
    <row r="781">
      <c r="A781" s="17"/>
      <c r="E781" s="19"/>
      <c r="I781" s="20"/>
      <c r="J781" s="20"/>
    </row>
    <row r="782">
      <c r="A782" s="17"/>
      <c r="E782" s="19"/>
      <c r="I782" s="20"/>
      <c r="J782" s="20"/>
    </row>
    <row r="783">
      <c r="A783" s="17"/>
      <c r="E783" s="19"/>
      <c r="I783" s="20"/>
      <c r="J783" s="20"/>
    </row>
    <row r="784">
      <c r="A784" s="17"/>
      <c r="E784" s="19"/>
      <c r="I784" s="20"/>
      <c r="J784" s="20"/>
    </row>
    <row r="785">
      <c r="A785" s="17"/>
      <c r="E785" s="19"/>
      <c r="I785" s="20"/>
      <c r="J785" s="20"/>
    </row>
    <row r="786">
      <c r="A786" s="17"/>
      <c r="E786" s="19"/>
      <c r="I786" s="20"/>
      <c r="J786" s="20"/>
    </row>
    <row r="787">
      <c r="A787" s="17"/>
      <c r="E787" s="19"/>
      <c r="I787" s="20"/>
      <c r="J787" s="20"/>
    </row>
    <row r="788">
      <c r="A788" s="17"/>
      <c r="E788" s="19"/>
      <c r="I788" s="20"/>
      <c r="J788" s="20"/>
    </row>
    <row r="789">
      <c r="A789" s="17"/>
      <c r="E789" s="19"/>
      <c r="I789" s="20"/>
      <c r="J789" s="20"/>
    </row>
    <row r="790">
      <c r="A790" s="17"/>
      <c r="E790" s="19"/>
      <c r="I790" s="20"/>
      <c r="J790" s="20"/>
    </row>
    <row r="791">
      <c r="A791" s="17"/>
      <c r="E791" s="19"/>
      <c r="I791" s="20"/>
      <c r="J791" s="20"/>
    </row>
    <row r="792">
      <c r="A792" s="17"/>
      <c r="E792" s="19"/>
      <c r="I792" s="20"/>
      <c r="J792" s="20"/>
    </row>
    <row r="793">
      <c r="A793" s="17"/>
      <c r="E793" s="19"/>
      <c r="I793" s="20"/>
      <c r="J793" s="20"/>
    </row>
    <row r="794">
      <c r="A794" s="17"/>
      <c r="E794" s="19"/>
      <c r="I794" s="20"/>
      <c r="J794" s="20"/>
    </row>
    <row r="795">
      <c r="A795" s="17"/>
      <c r="E795" s="19"/>
      <c r="I795" s="20"/>
      <c r="J795" s="20"/>
    </row>
    <row r="796">
      <c r="A796" s="17"/>
      <c r="E796" s="19"/>
      <c r="I796" s="20"/>
      <c r="J796" s="20"/>
    </row>
    <row r="797">
      <c r="A797" s="17"/>
      <c r="E797" s="19"/>
      <c r="I797" s="20"/>
      <c r="J797" s="20"/>
    </row>
    <row r="798">
      <c r="A798" s="17"/>
      <c r="E798" s="19"/>
      <c r="I798" s="20"/>
      <c r="J798" s="20"/>
    </row>
    <row r="799">
      <c r="A799" s="17"/>
      <c r="E799" s="19"/>
      <c r="I799" s="20"/>
      <c r="J799" s="20"/>
    </row>
    <row r="800">
      <c r="A800" s="17"/>
      <c r="E800" s="19"/>
      <c r="I800" s="20"/>
      <c r="J800" s="20"/>
    </row>
    <row r="801">
      <c r="A801" s="17"/>
      <c r="E801" s="19"/>
      <c r="I801" s="20"/>
      <c r="J801" s="20"/>
    </row>
    <row r="802">
      <c r="A802" s="17"/>
      <c r="E802" s="19"/>
      <c r="I802" s="20"/>
      <c r="J802" s="20"/>
    </row>
    <row r="803">
      <c r="A803" s="17"/>
      <c r="E803" s="19"/>
      <c r="I803" s="20"/>
      <c r="J803" s="20"/>
    </row>
    <row r="804">
      <c r="A804" s="17"/>
      <c r="E804" s="19"/>
      <c r="I804" s="20"/>
      <c r="J804" s="20"/>
    </row>
    <row r="805">
      <c r="A805" s="17"/>
      <c r="E805" s="19"/>
      <c r="I805" s="20"/>
      <c r="J805" s="20"/>
    </row>
    <row r="806">
      <c r="A806" s="17"/>
      <c r="E806" s="19"/>
      <c r="I806" s="20"/>
      <c r="J806" s="20"/>
    </row>
    <row r="807">
      <c r="A807" s="17"/>
      <c r="E807" s="19"/>
      <c r="I807" s="20"/>
      <c r="J807" s="20"/>
    </row>
    <row r="808">
      <c r="A808" s="17"/>
      <c r="E808" s="19"/>
      <c r="I808" s="20"/>
      <c r="J808" s="20"/>
    </row>
    <row r="809">
      <c r="A809" s="17"/>
      <c r="E809" s="19"/>
      <c r="I809" s="20"/>
      <c r="J809" s="20"/>
    </row>
    <row r="810">
      <c r="A810" s="17"/>
      <c r="E810" s="19"/>
      <c r="I810" s="20"/>
      <c r="J810" s="20"/>
    </row>
    <row r="811">
      <c r="A811" s="17"/>
      <c r="E811" s="19"/>
      <c r="I811" s="20"/>
      <c r="J811" s="20"/>
    </row>
    <row r="812">
      <c r="A812" s="17"/>
      <c r="E812" s="19"/>
      <c r="I812" s="20"/>
      <c r="J812" s="20"/>
    </row>
    <row r="813">
      <c r="A813" s="17"/>
      <c r="E813" s="19"/>
      <c r="I813" s="20"/>
      <c r="J813" s="20"/>
    </row>
    <row r="814">
      <c r="A814" s="17"/>
      <c r="E814" s="19"/>
      <c r="I814" s="20"/>
      <c r="J814" s="20"/>
    </row>
    <row r="815">
      <c r="A815" s="17"/>
      <c r="E815" s="19"/>
      <c r="I815" s="20"/>
      <c r="J815" s="20"/>
    </row>
    <row r="816">
      <c r="A816" s="17"/>
      <c r="E816" s="19"/>
      <c r="I816" s="20"/>
      <c r="J816" s="20"/>
    </row>
    <row r="817">
      <c r="A817" s="17"/>
      <c r="E817" s="19"/>
      <c r="I817" s="20"/>
      <c r="J817" s="20"/>
    </row>
    <row r="818">
      <c r="A818" s="17"/>
      <c r="E818" s="19"/>
      <c r="I818" s="20"/>
      <c r="J818" s="20"/>
    </row>
    <row r="819">
      <c r="A819" s="17"/>
      <c r="E819" s="19"/>
      <c r="I819" s="20"/>
      <c r="J819" s="20"/>
    </row>
    <row r="820">
      <c r="A820" s="17"/>
      <c r="E820" s="19"/>
      <c r="I820" s="20"/>
      <c r="J820" s="20"/>
    </row>
    <row r="821">
      <c r="A821" s="17"/>
      <c r="E821" s="19"/>
      <c r="I821" s="20"/>
      <c r="J821" s="20"/>
    </row>
    <row r="822">
      <c r="A822" s="17"/>
      <c r="E822" s="19"/>
      <c r="I822" s="20"/>
      <c r="J822" s="20"/>
    </row>
    <row r="823">
      <c r="A823" s="17"/>
      <c r="E823" s="19"/>
      <c r="I823" s="20"/>
      <c r="J823" s="20"/>
    </row>
    <row r="824">
      <c r="A824" s="17"/>
      <c r="E824" s="19"/>
      <c r="I824" s="20"/>
      <c r="J824" s="20"/>
    </row>
    <row r="825">
      <c r="A825" s="17"/>
      <c r="E825" s="19"/>
      <c r="I825" s="20"/>
      <c r="J825" s="20"/>
    </row>
    <row r="826">
      <c r="A826" s="17"/>
      <c r="E826" s="19"/>
      <c r="I826" s="20"/>
      <c r="J826" s="20"/>
    </row>
    <row r="827">
      <c r="A827" s="17"/>
      <c r="E827" s="19"/>
      <c r="I827" s="20"/>
      <c r="J827" s="20"/>
    </row>
    <row r="828">
      <c r="A828" s="17"/>
      <c r="E828" s="19"/>
      <c r="I828" s="20"/>
      <c r="J828" s="20"/>
    </row>
    <row r="829">
      <c r="A829" s="17"/>
      <c r="E829" s="19"/>
      <c r="I829" s="20"/>
      <c r="J829" s="20"/>
    </row>
    <row r="830">
      <c r="A830" s="17"/>
      <c r="E830" s="19"/>
      <c r="I830" s="20"/>
      <c r="J830" s="20"/>
    </row>
    <row r="831">
      <c r="A831" s="17"/>
      <c r="E831" s="19"/>
      <c r="I831" s="20"/>
      <c r="J831" s="20"/>
    </row>
    <row r="832">
      <c r="A832" s="17"/>
      <c r="E832" s="19"/>
      <c r="I832" s="20"/>
      <c r="J832" s="20"/>
    </row>
    <row r="833">
      <c r="A833" s="17"/>
      <c r="E833" s="19"/>
      <c r="I833" s="20"/>
      <c r="J833" s="20"/>
    </row>
    <row r="834">
      <c r="A834" s="17"/>
      <c r="E834" s="19"/>
      <c r="I834" s="20"/>
      <c r="J834" s="20"/>
    </row>
    <row r="835">
      <c r="A835" s="17"/>
      <c r="E835" s="19"/>
      <c r="I835" s="20"/>
      <c r="J835" s="20"/>
    </row>
    <row r="836">
      <c r="A836" s="17"/>
      <c r="E836" s="19"/>
      <c r="I836" s="20"/>
      <c r="J836" s="20"/>
    </row>
    <row r="837">
      <c r="A837" s="17"/>
      <c r="E837" s="19"/>
      <c r="I837" s="20"/>
      <c r="J837" s="20"/>
    </row>
    <row r="838">
      <c r="A838" s="17"/>
      <c r="E838" s="19"/>
      <c r="I838" s="20"/>
      <c r="J838" s="20"/>
    </row>
    <row r="839">
      <c r="A839" s="17"/>
      <c r="E839" s="19"/>
      <c r="I839" s="20"/>
      <c r="J839" s="20"/>
    </row>
    <row r="840">
      <c r="A840" s="17"/>
      <c r="E840" s="19"/>
      <c r="I840" s="20"/>
      <c r="J840" s="20"/>
    </row>
    <row r="841">
      <c r="A841" s="17"/>
      <c r="E841" s="19"/>
      <c r="I841" s="20"/>
      <c r="J841" s="20"/>
    </row>
    <row r="842">
      <c r="A842" s="17"/>
      <c r="E842" s="19"/>
      <c r="I842" s="20"/>
      <c r="J842" s="20"/>
    </row>
    <row r="843">
      <c r="A843" s="17"/>
      <c r="E843" s="19"/>
      <c r="I843" s="20"/>
      <c r="J843" s="20"/>
    </row>
    <row r="844">
      <c r="A844" s="17"/>
      <c r="E844" s="19"/>
      <c r="I844" s="20"/>
      <c r="J844" s="20"/>
    </row>
    <row r="845">
      <c r="A845" s="17"/>
      <c r="E845" s="19"/>
      <c r="I845" s="20"/>
      <c r="J845" s="20"/>
    </row>
    <row r="846">
      <c r="A846" s="17"/>
      <c r="E846" s="19"/>
      <c r="I846" s="20"/>
      <c r="J846" s="20"/>
    </row>
    <row r="847">
      <c r="A847" s="17"/>
      <c r="E847" s="19"/>
      <c r="I847" s="20"/>
      <c r="J847" s="20"/>
    </row>
    <row r="848">
      <c r="A848" s="17"/>
      <c r="E848" s="19"/>
      <c r="I848" s="20"/>
      <c r="J848" s="20"/>
    </row>
    <row r="849">
      <c r="A849" s="17"/>
      <c r="E849" s="19"/>
      <c r="I849" s="20"/>
      <c r="J849" s="20"/>
    </row>
    <row r="850">
      <c r="A850" s="17"/>
      <c r="E850" s="19"/>
      <c r="I850" s="20"/>
      <c r="J850" s="20"/>
    </row>
    <row r="851">
      <c r="A851" s="17"/>
      <c r="E851" s="19"/>
      <c r="I851" s="20"/>
      <c r="J851" s="20"/>
    </row>
    <row r="852">
      <c r="A852" s="17"/>
      <c r="E852" s="19"/>
      <c r="I852" s="20"/>
      <c r="J852" s="20"/>
    </row>
    <row r="853">
      <c r="A853" s="17"/>
      <c r="E853" s="19"/>
      <c r="I853" s="20"/>
      <c r="J853" s="20"/>
    </row>
    <row r="854">
      <c r="A854" s="17"/>
      <c r="E854" s="19"/>
      <c r="I854" s="20"/>
      <c r="J854" s="20"/>
    </row>
    <row r="855">
      <c r="A855" s="17"/>
      <c r="E855" s="19"/>
      <c r="I855" s="20"/>
      <c r="J855" s="20"/>
    </row>
    <row r="856">
      <c r="A856" s="17"/>
      <c r="E856" s="19"/>
      <c r="I856" s="20"/>
      <c r="J856" s="20"/>
    </row>
    <row r="857">
      <c r="A857" s="17"/>
      <c r="E857" s="19"/>
      <c r="I857" s="20"/>
      <c r="J857" s="20"/>
    </row>
    <row r="858">
      <c r="A858" s="17"/>
      <c r="E858" s="19"/>
      <c r="I858" s="20"/>
      <c r="J858" s="20"/>
    </row>
    <row r="859">
      <c r="A859" s="17"/>
      <c r="E859" s="19"/>
      <c r="I859" s="20"/>
      <c r="J859" s="20"/>
    </row>
    <row r="860">
      <c r="A860" s="17"/>
      <c r="E860" s="19"/>
      <c r="I860" s="20"/>
      <c r="J860" s="20"/>
    </row>
    <row r="861">
      <c r="A861" s="17"/>
      <c r="E861" s="19"/>
      <c r="I861" s="20"/>
      <c r="J861" s="20"/>
    </row>
    <row r="862">
      <c r="A862" s="17"/>
      <c r="E862" s="19"/>
      <c r="I862" s="20"/>
      <c r="J862" s="20"/>
    </row>
    <row r="863">
      <c r="A863" s="17"/>
      <c r="E863" s="19"/>
      <c r="I863" s="20"/>
      <c r="J863" s="20"/>
    </row>
    <row r="864">
      <c r="A864" s="17"/>
      <c r="E864" s="19"/>
      <c r="I864" s="20"/>
      <c r="J864" s="20"/>
    </row>
    <row r="865">
      <c r="A865" s="17"/>
      <c r="E865" s="19"/>
      <c r="I865" s="20"/>
      <c r="J865" s="20"/>
    </row>
    <row r="866">
      <c r="A866" s="17"/>
      <c r="E866" s="19"/>
      <c r="I866" s="20"/>
      <c r="J866" s="20"/>
    </row>
    <row r="867">
      <c r="A867" s="17"/>
      <c r="E867" s="19"/>
      <c r="I867" s="20"/>
      <c r="J867" s="20"/>
    </row>
    <row r="868">
      <c r="A868" s="17"/>
      <c r="E868" s="19"/>
      <c r="I868" s="20"/>
      <c r="J868" s="20"/>
    </row>
    <row r="869">
      <c r="A869" s="17"/>
      <c r="E869" s="19"/>
      <c r="I869" s="20"/>
      <c r="J869" s="20"/>
    </row>
    <row r="870">
      <c r="A870" s="17"/>
      <c r="E870" s="19"/>
      <c r="I870" s="20"/>
      <c r="J870" s="20"/>
    </row>
    <row r="871">
      <c r="A871" s="17"/>
      <c r="E871" s="19"/>
      <c r="I871" s="20"/>
      <c r="J871" s="20"/>
    </row>
    <row r="872">
      <c r="A872" s="17"/>
      <c r="E872" s="19"/>
      <c r="I872" s="20"/>
      <c r="J872" s="20"/>
    </row>
    <row r="873">
      <c r="A873" s="17"/>
      <c r="E873" s="19"/>
      <c r="I873" s="20"/>
      <c r="J873" s="20"/>
    </row>
    <row r="874">
      <c r="A874" s="17"/>
      <c r="E874" s="19"/>
      <c r="I874" s="20"/>
      <c r="J874" s="20"/>
    </row>
    <row r="875">
      <c r="A875" s="17"/>
      <c r="E875" s="19"/>
      <c r="I875" s="20"/>
      <c r="J875" s="20"/>
    </row>
    <row r="876">
      <c r="A876" s="17"/>
      <c r="E876" s="19"/>
      <c r="I876" s="20"/>
      <c r="J876" s="20"/>
    </row>
    <row r="877">
      <c r="A877" s="17"/>
      <c r="E877" s="19"/>
      <c r="I877" s="20"/>
      <c r="J877" s="20"/>
    </row>
    <row r="878">
      <c r="A878" s="17"/>
      <c r="E878" s="19"/>
      <c r="I878" s="20"/>
      <c r="J878" s="20"/>
    </row>
    <row r="879">
      <c r="A879" s="17"/>
      <c r="E879" s="19"/>
      <c r="I879" s="20"/>
      <c r="J879" s="20"/>
    </row>
    <row r="880">
      <c r="A880" s="17"/>
      <c r="E880" s="19"/>
      <c r="I880" s="20"/>
      <c r="J880" s="20"/>
    </row>
    <row r="881">
      <c r="A881" s="17"/>
      <c r="E881" s="19"/>
      <c r="I881" s="20"/>
      <c r="J881" s="20"/>
    </row>
    <row r="882">
      <c r="A882" s="17"/>
      <c r="E882" s="19"/>
      <c r="I882" s="20"/>
      <c r="J882" s="20"/>
    </row>
    <row r="883">
      <c r="A883" s="17"/>
      <c r="E883" s="19"/>
      <c r="I883" s="20"/>
      <c r="J883" s="20"/>
    </row>
    <row r="884">
      <c r="A884" s="17"/>
      <c r="E884" s="19"/>
      <c r="I884" s="20"/>
      <c r="J884" s="20"/>
    </row>
    <row r="885">
      <c r="A885" s="17"/>
      <c r="E885" s="19"/>
      <c r="I885" s="20"/>
      <c r="J885" s="20"/>
    </row>
    <row r="886">
      <c r="A886" s="17"/>
      <c r="E886" s="19"/>
      <c r="I886" s="20"/>
      <c r="J886" s="20"/>
    </row>
    <row r="887">
      <c r="A887" s="17"/>
      <c r="E887" s="19"/>
      <c r="I887" s="20"/>
      <c r="J887" s="20"/>
    </row>
    <row r="888">
      <c r="A888" s="17"/>
      <c r="E888" s="19"/>
      <c r="I888" s="20"/>
      <c r="J888" s="20"/>
    </row>
    <row r="889">
      <c r="A889" s="17"/>
      <c r="E889" s="19"/>
      <c r="I889" s="20"/>
      <c r="J889" s="20"/>
    </row>
    <row r="890">
      <c r="A890" s="17"/>
      <c r="E890" s="19"/>
      <c r="I890" s="20"/>
      <c r="J890" s="20"/>
    </row>
    <row r="891">
      <c r="A891" s="17"/>
      <c r="E891" s="19"/>
      <c r="I891" s="20"/>
      <c r="J891" s="20"/>
    </row>
    <row r="892">
      <c r="A892" s="17"/>
      <c r="E892" s="19"/>
      <c r="I892" s="20"/>
      <c r="J892" s="20"/>
    </row>
    <row r="893">
      <c r="A893" s="17"/>
      <c r="E893" s="19"/>
      <c r="I893" s="20"/>
      <c r="J893" s="20"/>
    </row>
    <row r="894">
      <c r="A894" s="17"/>
      <c r="E894" s="19"/>
      <c r="I894" s="20"/>
      <c r="J894" s="20"/>
    </row>
    <row r="895">
      <c r="A895" s="17"/>
      <c r="E895" s="19"/>
      <c r="I895" s="20"/>
      <c r="J895" s="20"/>
    </row>
    <row r="896">
      <c r="A896" s="17"/>
      <c r="E896" s="19"/>
      <c r="I896" s="20"/>
      <c r="J896" s="20"/>
    </row>
    <row r="897">
      <c r="A897" s="17"/>
      <c r="E897" s="19"/>
      <c r="I897" s="20"/>
      <c r="J897" s="20"/>
    </row>
    <row r="898">
      <c r="A898" s="17"/>
      <c r="E898" s="19"/>
      <c r="I898" s="20"/>
      <c r="J898" s="20"/>
    </row>
    <row r="899">
      <c r="A899" s="17"/>
      <c r="E899" s="19"/>
      <c r="I899" s="20"/>
      <c r="J899" s="20"/>
    </row>
    <row r="900">
      <c r="A900" s="17"/>
      <c r="E900" s="19"/>
      <c r="I900" s="20"/>
      <c r="J900" s="20"/>
    </row>
    <row r="901">
      <c r="A901" s="17"/>
      <c r="E901" s="19"/>
      <c r="I901" s="20"/>
      <c r="J901" s="20"/>
    </row>
    <row r="902">
      <c r="A902" s="17"/>
      <c r="E902" s="19"/>
      <c r="I902" s="20"/>
      <c r="J902" s="20"/>
    </row>
    <row r="903">
      <c r="A903" s="17"/>
      <c r="E903" s="19"/>
      <c r="I903" s="20"/>
      <c r="J903" s="20"/>
    </row>
    <row r="904">
      <c r="A904" s="17"/>
      <c r="E904" s="19"/>
      <c r="I904" s="20"/>
      <c r="J904" s="20"/>
    </row>
    <row r="905">
      <c r="A905" s="17"/>
      <c r="E905" s="19"/>
      <c r="I905" s="20"/>
      <c r="J905" s="20"/>
    </row>
    <row r="906">
      <c r="A906" s="17"/>
      <c r="E906" s="19"/>
      <c r="I906" s="20"/>
      <c r="J906" s="20"/>
    </row>
    <row r="907">
      <c r="A907" s="17"/>
      <c r="E907" s="19"/>
      <c r="I907" s="20"/>
      <c r="J907" s="20"/>
    </row>
    <row r="908">
      <c r="A908" s="17"/>
      <c r="E908" s="19"/>
      <c r="I908" s="20"/>
      <c r="J908" s="20"/>
    </row>
    <row r="909">
      <c r="A909" s="17"/>
      <c r="E909" s="19"/>
      <c r="I909" s="20"/>
      <c r="J909" s="20"/>
    </row>
    <row r="910">
      <c r="A910" s="17"/>
      <c r="E910" s="19"/>
      <c r="I910" s="20"/>
      <c r="J910" s="20"/>
    </row>
    <row r="911">
      <c r="A911" s="17"/>
      <c r="E911" s="19"/>
      <c r="I911" s="20"/>
      <c r="J911" s="20"/>
    </row>
    <row r="912">
      <c r="A912" s="17"/>
      <c r="E912" s="19"/>
      <c r="I912" s="20"/>
      <c r="J912" s="20"/>
    </row>
    <row r="913">
      <c r="A913" s="17"/>
      <c r="E913" s="19"/>
      <c r="I913" s="20"/>
      <c r="J913" s="20"/>
    </row>
    <row r="914">
      <c r="A914" s="17"/>
      <c r="E914" s="19"/>
      <c r="I914" s="20"/>
      <c r="J914" s="20"/>
    </row>
    <row r="915">
      <c r="A915" s="17"/>
      <c r="E915" s="19"/>
      <c r="I915" s="20"/>
      <c r="J915" s="20"/>
    </row>
    <row r="916">
      <c r="A916" s="17"/>
      <c r="E916" s="19"/>
      <c r="I916" s="20"/>
      <c r="J916" s="20"/>
    </row>
    <row r="917">
      <c r="A917" s="17"/>
      <c r="E917" s="19"/>
      <c r="I917" s="20"/>
      <c r="J917" s="20"/>
    </row>
    <row r="918">
      <c r="A918" s="17"/>
      <c r="E918" s="19"/>
      <c r="I918" s="20"/>
      <c r="J918" s="20"/>
    </row>
    <row r="919">
      <c r="A919" s="17"/>
      <c r="E919" s="19"/>
      <c r="I919" s="20"/>
      <c r="J919" s="20"/>
    </row>
    <row r="920">
      <c r="A920" s="17"/>
      <c r="E920" s="19"/>
      <c r="I920" s="20"/>
      <c r="J920" s="20"/>
    </row>
    <row r="921">
      <c r="A921" s="17"/>
      <c r="E921" s="19"/>
      <c r="I921" s="20"/>
      <c r="J921" s="20"/>
    </row>
    <row r="922">
      <c r="A922" s="17"/>
      <c r="E922" s="19"/>
      <c r="I922" s="20"/>
      <c r="J922" s="20"/>
    </row>
    <row r="923">
      <c r="A923" s="17"/>
      <c r="E923" s="19"/>
      <c r="I923" s="20"/>
      <c r="J923" s="20"/>
    </row>
    <row r="924">
      <c r="A924" s="17"/>
      <c r="E924" s="19"/>
      <c r="I924" s="20"/>
      <c r="J924" s="20"/>
    </row>
    <row r="925">
      <c r="A925" s="17"/>
      <c r="E925" s="19"/>
      <c r="I925" s="20"/>
      <c r="J925" s="20"/>
    </row>
    <row r="926">
      <c r="A926" s="17"/>
      <c r="E926" s="19"/>
      <c r="I926" s="20"/>
      <c r="J926" s="20"/>
    </row>
    <row r="927">
      <c r="A927" s="17"/>
      <c r="E927" s="19"/>
      <c r="I927" s="20"/>
      <c r="J927" s="20"/>
    </row>
    <row r="928">
      <c r="A928" s="17"/>
      <c r="E928" s="19"/>
      <c r="I928" s="20"/>
      <c r="J928" s="20"/>
    </row>
    <row r="929">
      <c r="A929" s="17"/>
      <c r="E929" s="19"/>
      <c r="I929" s="20"/>
      <c r="J929" s="20"/>
    </row>
    <row r="930">
      <c r="A930" s="17"/>
      <c r="E930" s="19"/>
      <c r="I930" s="20"/>
      <c r="J930" s="20"/>
    </row>
    <row r="931">
      <c r="A931" s="17"/>
      <c r="E931" s="19"/>
      <c r="I931" s="20"/>
      <c r="J931" s="20"/>
    </row>
    <row r="932">
      <c r="A932" s="17"/>
      <c r="E932" s="19"/>
      <c r="I932" s="20"/>
      <c r="J932" s="20"/>
    </row>
    <row r="933">
      <c r="A933" s="17"/>
      <c r="E933" s="19"/>
      <c r="I933" s="20"/>
      <c r="J933" s="20"/>
    </row>
    <row r="934">
      <c r="A934" s="17"/>
      <c r="E934" s="19"/>
      <c r="I934" s="20"/>
      <c r="J934" s="20"/>
    </row>
    <row r="935">
      <c r="A935" s="17"/>
      <c r="E935" s="19"/>
      <c r="I935" s="20"/>
      <c r="J935" s="20"/>
    </row>
    <row r="936">
      <c r="A936" s="17"/>
      <c r="E936" s="19"/>
      <c r="I936" s="20"/>
      <c r="J936" s="20"/>
    </row>
    <row r="937">
      <c r="A937" s="17"/>
      <c r="E937" s="19"/>
      <c r="I937" s="20"/>
      <c r="J937" s="20"/>
    </row>
    <row r="938">
      <c r="A938" s="17"/>
      <c r="E938" s="19"/>
      <c r="I938" s="20"/>
      <c r="J938" s="20"/>
    </row>
    <row r="939">
      <c r="A939" s="17"/>
      <c r="E939" s="19"/>
      <c r="I939" s="20"/>
      <c r="J939" s="20"/>
    </row>
    <row r="940">
      <c r="A940" s="17"/>
      <c r="E940" s="19"/>
      <c r="I940" s="20"/>
      <c r="J940" s="20"/>
    </row>
    <row r="941">
      <c r="A941" s="17"/>
      <c r="E941" s="19"/>
      <c r="I941" s="20"/>
      <c r="J941" s="20"/>
    </row>
    <row r="942">
      <c r="A942" s="17"/>
      <c r="E942" s="19"/>
      <c r="I942" s="20"/>
      <c r="J942" s="20"/>
    </row>
    <row r="943">
      <c r="A943" s="17"/>
      <c r="E943" s="19"/>
      <c r="I943" s="20"/>
      <c r="J943" s="20"/>
    </row>
    <row r="944">
      <c r="A944" s="17"/>
      <c r="E944" s="19"/>
      <c r="I944" s="20"/>
      <c r="J944" s="20"/>
    </row>
    <row r="945">
      <c r="A945" s="17"/>
      <c r="E945" s="19"/>
      <c r="I945" s="20"/>
      <c r="J945" s="20"/>
    </row>
    <row r="946">
      <c r="A946" s="17"/>
      <c r="E946" s="19"/>
      <c r="I946" s="20"/>
      <c r="J946" s="20"/>
    </row>
    <row r="947">
      <c r="A947" s="17"/>
      <c r="E947" s="19"/>
      <c r="I947" s="20"/>
      <c r="J947" s="20"/>
    </row>
    <row r="948">
      <c r="A948" s="17"/>
      <c r="E948" s="19"/>
      <c r="I948" s="20"/>
      <c r="J948" s="20"/>
    </row>
    <row r="949">
      <c r="A949" s="17"/>
      <c r="E949" s="19"/>
      <c r="I949" s="20"/>
      <c r="J949" s="20"/>
    </row>
    <row r="950">
      <c r="A950" s="17"/>
      <c r="E950" s="19"/>
      <c r="I950" s="20"/>
      <c r="J950" s="20"/>
    </row>
    <row r="951">
      <c r="A951" s="17"/>
      <c r="E951" s="19"/>
      <c r="I951" s="20"/>
      <c r="J951" s="20"/>
    </row>
    <row r="952">
      <c r="A952" s="17"/>
      <c r="E952" s="19"/>
      <c r="I952" s="20"/>
      <c r="J952" s="20"/>
    </row>
    <row r="953">
      <c r="A953" s="17"/>
      <c r="E953" s="19"/>
      <c r="I953" s="20"/>
      <c r="J953" s="20"/>
    </row>
    <row r="954">
      <c r="A954" s="17"/>
      <c r="E954" s="19"/>
      <c r="I954" s="20"/>
      <c r="J954" s="20"/>
    </row>
    <row r="955">
      <c r="A955" s="17"/>
      <c r="E955" s="19"/>
      <c r="I955" s="20"/>
      <c r="J955" s="20"/>
    </row>
    <row r="956">
      <c r="A956" s="17"/>
      <c r="E956" s="19"/>
      <c r="I956" s="20"/>
      <c r="J956" s="20"/>
    </row>
    <row r="957">
      <c r="A957" s="17"/>
      <c r="E957" s="19"/>
      <c r="I957" s="20"/>
      <c r="J957" s="20"/>
    </row>
    <row r="958">
      <c r="A958" s="17"/>
      <c r="E958" s="19"/>
      <c r="I958" s="20"/>
      <c r="J958" s="20"/>
    </row>
    <row r="959">
      <c r="A959" s="17"/>
      <c r="E959" s="19"/>
      <c r="I959" s="20"/>
      <c r="J959" s="20"/>
    </row>
    <row r="960">
      <c r="A960" s="17"/>
      <c r="E960" s="19"/>
      <c r="I960" s="20"/>
      <c r="J960" s="20"/>
    </row>
    <row r="961">
      <c r="A961" s="17"/>
      <c r="E961" s="19"/>
      <c r="I961" s="20"/>
      <c r="J961" s="20"/>
    </row>
    <row r="962">
      <c r="A962" s="17"/>
      <c r="E962" s="19"/>
      <c r="I962" s="20"/>
      <c r="J962" s="20"/>
    </row>
    <row r="963">
      <c r="A963" s="17"/>
      <c r="E963" s="19"/>
      <c r="I963" s="20"/>
      <c r="J963" s="20"/>
    </row>
    <row r="964">
      <c r="A964" s="17"/>
      <c r="E964" s="19"/>
      <c r="I964" s="20"/>
      <c r="J964" s="20"/>
    </row>
    <row r="965">
      <c r="A965" s="17"/>
      <c r="E965" s="19"/>
      <c r="I965" s="20"/>
      <c r="J965" s="20"/>
    </row>
    <row r="966">
      <c r="A966" s="17"/>
      <c r="E966" s="19"/>
      <c r="I966" s="20"/>
      <c r="J966" s="20"/>
    </row>
    <row r="967">
      <c r="A967" s="17"/>
      <c r="E967" s="19"/>
      <c r="I967" s="20"/>
      <c r="J967" s="20"/>
    </row>
    <row r="968">
      <c r="A968" s="17"/>
      <c r="E968" s="19"/>
      <c r="I968" s="20"/>
      <c r="J968" s="20"/>
    </row>
    <row r="969">
      <c r="A969" s="17"/>
      <c r="E969" s="19"/>
      <c r="I969" s="20"/>
      <c r="J969" s="20"/>
    </row>
    <row r="970">
      <c r="A970" s="17"/>
      <c r="E970" s="19"/>
      <c r="I970" s="20"/>
      <c r="J970" s="20"/>
    </row>
    <row r="971">
      <c r="A971" s="17"/>
      <c r="E971" s="19"/>
      <c r="I971" s="20"/>
      <c r="J971" s="20"/>
    </row>
    <row r="972">
      <c r="A972" s="17"/>
      <c r="E972" s="19"/>
      <c r="I972" s="20"/>
      <c r="J972" s="20"/>
    </row>
    <row r="973">
      <c r="A973" s="17"/>
      <c r="E973" s="19"/>
      <c r="I973" s="20"/>
      <c r="J973" s="20"/>
    </row>
    <row r="974">
      <c r="A974" s="17"/>
      <c r="E974" s="19"/>
      <c r="I974" s="20"/>
      <c r="J974" s="20"/>
    </row>
    <row r="975">
      <c r="A975" s="17"/>
      <c r="E975" s="19"/>
      <c r="I975" s="20"/>
      <c r="J975" s="20"/>
    </row>
    <row r="976">
      <c r="A976" s="17"/>
      <c r="E976" s="19"/>
      <c r="I976" s="20"/>
      <c r="J976" s="20"/>
    </row>
    <row r="977">
      <c r="A977" s="17"/>
      <c r="E977" s="19"/>
      <c r="I977" s="20"/>
      <c r="J977" s="20"/>
    </row>
    <row r="978">
      <c r="A978" s="17"/>
      <c r="E978" s="19"/>
      <c r="I978" s="20"/>
      <c r="J978" s="20"/>
    </row>
    <row r="979">
      <c r="A979" s="17"/>
      <c r="E979" s="19"/>
      <c r="I979" s="20"/>
      <c r="J979" s="20"/>
    </row>
    <row r="980">
      <c r="A980" s="17"/>
      <c r="E980" s="19"/>
      <c r="I980" s="20"/>
      <c r="J980" s="20"/>
    </row>
    <row r="981">
      <c r="A981" s="17"/>
      <c r="E981" s="19"/>
      <c r="I981" s="20"/>
      <c r="J981" s="20"/>
    </row>
    <row r="982">
      <c r="A982" s="17"/>
      <c r="E982" s="19"/>
      <c r="I982" s="20"/>
      <c r="J982" s="20"/>
    </row>
    <row r="983">
      <c r="A983" s="17"/>
      <c r="E983" s="19"/>
      <c r="I983" s="20"/>
      <c r="J983" s="20"/>
    </row>
    <row r="984">
      <c r="A984" s="17"/>
      <c r="E984" s="19"/>
      <c r="I984" s="20"/>
      <c r="J984" s="20"/>
    </row>
    <row r="985">
      <c r="A985" s="17"/>
      <c r="E985" s="19"/>
      <c r="I985" s="20"/>
      <c r="J985" s="20"/>
    </row>
    <row r="986">
      <c r="A986" s="17"/>
      <c r="E986" s="19"/>
      <c r="I986" s="20"/>
      <c r="J986" s="20"/>
    </row>
    <row r="987">
      <c r="A987" s="17"/>
      <c r="E987" s="19"/>
      <c r="I987" s="20"/>
      <c r="J987" s="20"/>
    </row>
    <row r="988">
      <c r="A988" s="17"/>
      <c r="E988" s="19"/>
      <c r="I988" s="20"/>
      <c r="J988" s="20"/>
    </row>
    <row r="989">
      <c r="A989" s="17"/>
      <c r="E989" s="19"/>
      <c r="I989" s="20"/>
      <c r="J989" s="20"/>
    </row>
    <row r="990">
      <c r="A990" s="17"/>
      <c r="E990" s="19"/>
      <c r="I990" s="20"/>
      <c r="J990" s="20"/>
    </row>
    <row r="991">
      <c r="A991" s="17"/>
      <c r="E991" s="19"/>
      <c r="I991" s="20"/>
      <c r="J991" s="20"/>
    </row>
    <row r="992">
      <c r="A992" s="17"/>
      <c r="E992" s="19"/>
      <c r="I992" s="20"/>
      <c r="J992" s="20"/>
    </row>
    <row r="993">
      <c r="A993" s="17"/>
      <c r="E993" s="19"/>
      <c r="I993" s="20"/>
      <c r="J993" s="20"/>
    </row>
    <row r="994">
      <c r="A994" s="17"/>
      <c r="E994" s="19"/>
      <c r="I994" s="20"/>
      <c r="J994" s="20"/>
    </row>
    <row r="995">
      <c r="A995" s="17"/>
      <c r="E995" s="19"/>
      <c r="I995" s="20"/>
      <c r="J995" s="20"/>
    </row>
    <row r="996">
      <c r="A996" s="17"/>
      <c r="E996" s="19"/>
      <c r="I996" s="20"/>
      <c r="J996" s="20"/>
    </row>
    <row r="997">
      <c r="A997" s="17"/>
      <c r="E997" s="19"/>
      <c r="I997" s="20"/>
      <c r="J997" s="20"/>
    </row>
    <row r="998">
      <c r="A998" s="17"/>
      <c r="E998" s="19"/>
      <c r="I998" s="20"/>
      <c r="J998" s="20"/>
    </row>
    <row r="999">
      <c r="A999" s="17"/>
      <c r="E999" s="19"/>
      <c r="I999" s="20"/>
      <c r="J999" s="20"/>
    </row>
    <row r="1000">
      <c r="A1000" s="17"/>
      <c r="E1000" s="19"/>
      <c r="I1000" s="20"/>
      <c r="J1000" s="20"/>
    </row>
    <row r="1001">
      <c r="A1001" s="17"/>
      <c r="E1001" s="19"/>
      <c r="I1001" s="20"/>
      <c r="J1001" s="20"/>
    </row>
    <row r="1002">
      <c r="A1002" s="17"/>
      <c r="E1002" s="19"/>
      <c r="I1002" s="20"/>
      <c r="J1002" s="20"/>
    </row>
    <row r="1003">
      <c r="A1003" s="17"/>
      <c r="E1003" s="19"/>
      <c r="I1003" s="20"/>
      <c r="J1003" s="20"/>
    </row>
    <row r="1004">
      <c r="A1004" s="17"/>
      <c r="E1004" s="19"/>
      <c r="I1004" s="20"/>
      <c r="J1004" s="20"/>
    </row>
  </sheetData>
  <mergeCells count="5">
    <mergeCell ref="G33:H33"/>
    <mergeCell ref="I33:J33"/>
    <mergeCell ref="G34:H34"/>
    <mergeCell ref="I34:J34"/>
    <mergeCell ref="G35:H35"/>
  </mergeCells>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9"/>
    <hyperlink r:id="rId20" ref="F20"/>
    <hyperlink r:id="rId21" ref="F21"/>
    <hyperlink r:id="rId22" ref="F22"/>
    <hyperlink r:id="rId23" ref="F23"/>
    <hyperlink r:id="rId24" ref="F24"/>
    <hyperlink r:id="rId25" ref="F25"/>
    <hyperlink r:id="rId26" ref="F26"/>
    <hyperlink r:id="rId27" ref="F27"/>
    <hyperlink r:id="rId28" ref="F28"/>
    <hyperlink r:id="rId29" ref="F29"/>
    <hyperlink r:id="rId30" ref="F30"/>
    <hyperlink r:id="rId31" ref="F31"/>
    <hyperlink r:id="rId32" ref="F32"/>
  </hyperlinks>
  <drawing r:id="rId33"/>
  <legacyDrawing r:id="rId34"/>
</worksheet>
</file>